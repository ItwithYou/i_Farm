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4B2FA1D72562F7/My code!/iFarm/"/>
    </mc:Choice>
  </mc:AlternateContent>
  <xr:revisionPtr revIDLastSave="3" documentId="8_{365BB58B-6B8B-4D00-9E0B-02714EBCB3FA}" xr6:coauthVersionLast="47" xr6:coauthVersionMax="47" xr10:uidLastSave="{366640C1-B90E-4EE3-8066-13149067C841}"/>
  <bookViews>
    <workbookView xWindow="-120" yWindow="-120" windowWidth="29040" windowHeight="15720" xr2:uid="{B6859E5A-9F06-4B39-8345-976FEE416C15}"/>
  </bookViews>
  <sheets>
    <sheet name="Note1" sheetId="1" r:id="rId1"/>
    <sheet name="code_Note1" sheetId="2" r:id="rId2"/>
  </sheets>
  <definedNames>
    <definedName name="_xlnm._FilterDatabase" localSheetId="1" hidden="1">code_Note1!$A$1:$B$90</definedName>
    <definedName name="_xlnm._FilterDatabase" localSheetId="0" hidden="1">Note1!$A$2:$P$1084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84" i="1" l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<sst xmlns="http://schemas.openxmlformats.org/spreadsheetml/2006/main" count="5680" uniqueCount="861">
  <si>
    <t>ວັນທີ</t>
  </si>
  <si>
    <t>ເນື້ອໃນ</t>
  </si>
  <si>
    <t>ນໍ້າດື່ມ</t>
  </si>
  <si>
    <t>code2</t>
  </si>
  <si>
    <t>ຈ່າຍ</t>
  </si>
  <si>
    <t>ຮັບ</t>
  </si>
  <si>
    <t>Kip</t>
  </si>
  <si>
    <t>Bath</t>
  </si>
  <si>
    <t>Us</t>
  </si>
  <si>
    <t>Yuan</t>
  </si>
  <si>
    <t>ງວດ1 ຄອກ 123</t>
  </si>
  <si>
    <t>ຫວດ ຢາລ້າງຖ້ວຍ</t>
  </si>
  <si>
    <t>ຕລາດ</t>
  </si>
  <si>
    <t>ເຫັລກຊິມັງໄມ້</t>
  </si>
  <si>
    <t>ຊີມັງ ເລັກ</t>
  </si>
  <si>
    <t>ຕລາດ ຊີ້ນ</t>
  </si>
  <si>
    <t>ອາຫານສວຍ</t>
  </si>
  <si>
    <t>ຄົກ</t>
  </si>
  <si>
    <t>ຖັງນໍ້າເຢັນ</t>
  </si>
  <si>
    <t>ຖັງນໍ້າ</t>
  </si>
  <si>
    <t>ລານລໍ້</t>
  </si>
  <si>
    <t>ອຸປະກອນ ກໍ່ສ້າງ</t>
  </si>
  <si>
    <t>ລໍ້</t>
  </si>
  <si>
    <t>ໄມ້35</t>
  </si>
  <si>
    <t>ໄມ້</t>
  </si>
  <si>
    <t>ຫີນ ຊາຍ</t>
  </si>
  <si>
    <t>ໂມ້ຫີນຊາຍ</t>
  </si>
  <si>
    <t>ກາແລກ</t>
  </si>
  <si>
    <t>ຖົ່ວດິນ ມັນເຜົາ</t>
  </si>
  <si>
    <t>ລົດສາມລໍ້ຂຽວ</t>
  </si>
  <si>
    <t>ພາຫະນະ</t>
  </si>
  <si>
    <t>ເຊືອກ5ກໍ້ ປູນຂາວ ແລະແຮງງານ</t>
  </si>
  <si>
    <t>ປູນຂາວ</t>
  </si>
  <si>
    <t>ໄມ້ຕີພັງ</t>
  </si>
  <si>
    <t>ເລັກ</t>
  </si>
  <si>
    <t>ເຂົ້າຈີ່</t>
  </si>
  <si>
    <t>ແປບຊີ</t>
  </si>
  <si>
    <t>ຫມວກ</t>
  </si>
  <si>
    <t>ເຄື່ອງໃຊ້ ພງ</t>
  </si>
  <si>
    <t>ທູບຈອດ ແລະອື່ນໆ</t>
  </si>
  <si>
    <t>ສະເລັກທາສີເຫັລກ</t>
  </si>
  <si>
    <t>ຊີມັງແດງ1ຂຽວ2ຕ</t>
  </si>
  <si>
    <t>ຊີມັງ</t>
  </si>
  <si>
    <t>ນໍ້າ24ຕຸກ</t>
  </si>
  <si>
    <t>ນໍ້້າດື່ມ</t>
  </si>
  <si>
    <t xml:space="preserve">ແຮງງານ ລັກ19 ຈ່າຍສົດ </t>
  </si>
  <si>
    <t>ແຮງງານ ກໍ່ສ້າງ</t>
  </si>
  <si>
    <t>ປູນຂາວ ໄຟຟ້າຈອດ</t>
  </si>
  <si>
    <t>ແຮງງານທະຫານ</t>
  </si>
  <si>
    <t>ແຮງງານ ຈອດຫັລງຕາ ຈົກດິນເກີນໂມງ</t>
  </si>
  <si>
    <t>ແທ່ງນໍ້າ</t>
  </si>
  <si>
    <t>ກ່ຽວກັບນໍ້າ</t>
  </si>
  <si>
    <t>ພັນປາ</t>
  </si>
  <si>
    <t>ກ້ອງ3ຫນ່ວຍ</t>
  </si>
  <si>
    <t>net</t>
  </si>
  <si>
    <t xml:space="preserve">ນາຍບ້ານ copy </t>
  </si>
  <si>
    <t>ຄ່າທຳນຽມ</t>
  </si>
  <si>
    <t>ເນັດ ລັກ19</t>
  </si>
  <si>
    <t>ບົດບັນທຶກສຳລວດ ມາ5ຄົນ</t>
  </si>
  <si>
    <t xml:space="preserve">ຈ່າຍຄ່າໃຫ່ຍ ເຄິ່ງຄ່າກ່ອນ ໄວ້ໃສ່ຄອກຢູລັກ19 ຈໍານວນ36ໜ່ວຍ </t>
  </si>
  <si>
    <t>ພັດລົມ</t>
  </si>
  <si>
    <t>ແຮງງານດາດປາກໄກ່ ອ້າຍຫອມສົ່ງຄົນກໍ່ສ້າງຊ່ວຍ2ຄອກລຸ່ມ</t>
  </si>
  <si>
    <t>vac</t>
  </si>
  <si>
    <t>ສັກວັກຊິນ</t>
  </si>
  <si>
    <t>ຈໍາເສົາ</t>
  </si>
  <si>
    <t>ເສົາ</t>
  </si>
  <si>
    <t>ລາບ</t>
  </si>
  <si>
    <t>32ຫນ່ວຍຈ່າຍອີກເຄິ່ງທີເຫລືອ</t>
  </si>
  <si>
    <t>ອະນຸຍາດສ້າງຟາມໄກ່</t>
  </si>
  <si>
    <t>ຊິມໃຫມ່3</t>
  </si>
  <si>
    <t>ໂຊກທະວີ</t>
  </si>
  <si>
    <t>ອຸປະກອນຄົວເຮືອນ ອາຫານ</t>
  </si>
  <si>
    <t>ກິນເຝີ</t>
  </si>
  <si>
    <t>ຊິມັງ ເຊຶອກ</t>
  </si>
  <si>
    <t>Net ໃສ່3ຊິມ</t>
  </si>
  <si>
    <t>ດອກໄມ້</t>
  </si>
  <si>
    <t>ປູກຕົ້ນໄມ້</t>
  </si>
  <si>
    <t>ເລື່ອຍຕັດໄມ້</t>
  </si>
  <si>
    <t>ຝຸ້ຍລ້າງຊາຍ</t>
  </si>
  <si>
    <t>ປັບດິນ ລັກ19 7days</t>
  </si>
  <si>
    <t>ປັບດິນ</t>
  </si>
  <si>
    <t>ອາລູຊິງລັກ19ລາຄາ18791ບາດ</t>
  </si>
  <si>
    <t>ອາລູຊິງ</t>
  </si>
  <si>
    <t>ຈົກດິນ ລົງທໍ່66ອັນ</t>
  </si>
  <si>
    <t>ຝອຍທາສີ</t>
  </si>
  <si>
    <t>ຊາຍ1</t>
  </si>
  <si>
    <t>ຕະປູ</t>
  </si>
  <si>
    <t>ນ້ອດຫັລງຄາ</t>
  </si>
  <si>
    <t>ຕູ້ເຢັນແປງ</t>
  </si>
  <si>
    <t>ຫີນ 3.3 ຊາຍ1.7</t>
  </si>
  <si>
    <t>ຊີມັງ ທໍ່ ອຸປະກອນ ເຮືອນນອນ</t>
  </si>
  <si>
    <t>ແຮງງານ1ນສ2ລັກ19</t>
  </si>
  <si>
    <t>ຖ່ານ</t>
  </si>
  <si>
    <t>ຢ້ານາງ</t>
  </si>
  <si>
    <t xml:space="preserve">ມັນເຜົາ </t>
  </si>
  <si>
    <t>ເຂົ້າປຽກ</t>
  </si>
  <si>
    <t>ຕຽງພັບ</t>
  </si>
  <si>
    <t>ຊິມັງ ຕະປູ5ໂລ ຄ້ອນຕີ</t>
  </si>
  <si>
    <t>ບານປະຕູ ປ່ອງຍ້ຽມ</t>
  </si>
  <si>
    <t>ມັນ</t>
  </si>
  <si>
    <t>ເຈມາກ</t>
  </si>
  <si>
    <t>ກາເຟ</t>
  </si>
  <si>
    <t>Oil</t>
  </si>
  <si>
    <t>ແຮງງານນໍ້າມັນເອົາແກບມາ</t>
  </si>
  <si>
    <t>ພັນປາ ຖົ່ວ ຫມູ</t>
  </si>
  <si>
    <t>ໂຖ ອຸປະກອນ</t>
  </si>
  <si>
    <t>ແຮງງານເທເສົາ180*30000</t>
  </si>
  <si>
    <t>ແປງລົດສາມລໍ້</t>
  </si>
  <si>
    <t>ໄດນໍ້າ</t>
  </si>
  <si>
    <t>ອຸປະກອນ ນໍ້າ</t>
  </si>
  <si>
    <t>ກົງເຕີໄຟ</t>
  </si>
  <si>
    <t>ອຸປະກອນ ໄຟຟ້າ</t>
  </si>
  <si>
    <t>ແຜ່ນອາລູຊີງໃສ່ປະຕູ</t>
  </si>
  <si>
    <t>ອຸປະກອນເຮືອນນອນ</t>
  </si>
  <si>
    <t>ກ້ອງວົງຈອນ</t>
  </si>
  <si>
    <t>ເນັດລັກ19</t>
  </si>
  <si>
    <t>ອຸປະກອນເຮືອນນອນ ປະເພດທໍ່</t>
  </si>
  <si>
    <t>ຕູ້</t>
  </si>
  <si>
    <t>ໄຂ່</t>
  </si>
  <si>
    <t>ຫີນຊາຍ</t>
  </si>
  <si>
    <t>ນ້ອດ2ອັນ</t>
  </si>
  <si>
    <t>ມັນເຜົາ</t>
  </si>
  <si>
    <t>ທໍນໍ້າ</t>
  </si>
  <si>
    <t>ນໍ້າດື່ມປາກຮ່ອມ</t>
  </si>
  <si>
    <t>ແຮງງານລຸງເພັດ</t>
  </si>
  <si>
    <t>ຊີ້ນ4ໂລ</t>
  </si>
  <si>
    <t>ດອກໄຟພໍ່ຊື້</t>
  </si>
  <si>
    <t>ກ່ຽວກັບໄຟ</t>
  </si>
  <si>
    <t xml:space="preserve">Family ພ </t>
  </si>
  <si>
    <t>ຫມາກບີ່</t>
  </si>
  <si>
    <t>ແຮງງານ</t>
  </si>
  <si>
    <t>ເກີບ</t>
  </si>
  <si>
    <t>ແຮງງານເທປູນ</t>
  </si>
  <si>
    <t>ໂອອິຊິ ເອັມລ້ອຍ2ວັນ</t>
  </si>
  <si>
    <t>ແຮງງານ7ຄົນ 3ແສນ</t>
  </si>
  <si>
    <t>ແຮງງານອ້າຍປາດ</t>
  </si>
  <si>
    <t>ເກີບໂບກ ຈົກ</t>
  </si>
  <si>
    <t>ໃບເລື່ອຍຕັດບ້ອກ</t>
  </si>
  <si>
    <t>ນາຍຫນ້າຕັ້ງເສົາ</t>
  </si>
  <si>
    <t>ມ້າງເຮືອນເອົາໄມ້ຕີແບບ ອຸປະກອນ</t>
  </si>
  <si>
    <t>ຊີມັງ2ໂຕນ ແລະ ເຫັລກ</t>
  </si>
  <si>
    <t>ເສົາ (ໃນນີ້ຕ້ອງລົບທໍ່66ອັນອອກ =66*420000=27720000/21600=1283.33    )</t>
  </si>
  <si>
    <t>ອ້າຍຈ່າຍມື້ນີ້: ຄ່າຕັ້ງເສົາ 4,600,000  ກີບ,</t>
  </si>
  <si>
    <t>ຄ່າກໍາມະກອນທະຫານມາຊ່ວຍວານນີ້ສອງຄົນ 400,000 ກີບ,</t>
  </si>
  <si>
    <t>ຊື້ແພອັດປາກ 100,000 ກີບ,</t>
  </si>
  <si>
    <t>ຄ່າອຸປະກອນໄຟ້າ 8,000,000 ກີບ,</t>
  </si>
  <si>
    <t>ຊື້ເຂົ້າສານ 210,000 ກີບ,</t>
  </si>
  <si>
    <t>ເຂົ້າສານ</t>
  </si>
  <si>
    <t>ເຫລັກຍູ້ປູນ3ອັຮ</t>
  </si>
  <si>
    <t>ເຫັລກຫັລງຄາຮ້ານຫວຽດ</t>
  </si>
  <si>
    <t>ເນັດ ກ້ອງ ລັກ19</t>
  </si>
  <si>
    <t>ຫົລງເບີຕື່ມເກີນໃສ່ສອງຊິມ</t>
  </si>
  <si>
    <t>ໄມ້ຕໍ່ຫົວເສົາລັກ19</t>
  </si>
  <si>
    <t>ທູບຈອດ</t>
  </si>
  <si>
    <t>ທູບຈອດ ຊັ່ງຈຽງ</t>
  </si>
  <si>
    <t>ສາຍໄຟ</t>
  </si>
  <si>
    <t>ສະວ່ານ3ອັນ ຍິງນອດອາລູຊິງ</t>
  </si>
  <si>
    <t>ປັບດິນຄອກໄກ່ຄືນ</t>
  </si>
  <si>
    <t>ແປ້ງນົວ ເກືອ ຂ້າຍຸງ</t>
  </si>
  <si>
    <t>ແຮງງານຫັລງຄາ</t>
  </si>
  <si>
    <t>ແຮງງານກໍ່ກັນເປື້ອນ3ວັນ</t>
  </si>
  <si>
    <t>ປັບຫນ້າດິນຄອກໄກ່</t>
  </si>
  <si>
    <t>ນໍ້າດື່ມ ຢາຍອດຕາ ອຸປະກອນຢາ ເຫົ້ລາ</t>
  </si>
  <si>
    <t>ນໍ້າມັນພືດ</t>
  </si>
  <si>
    <t>ຄ່າເຄື່ອງອຸປະກອນຈອດຫັລງຄາ</t>
  </si>
  <si>
    <t>ດິນບ້ອກ ທໍ່</t>
  </si>
  <si>
    <t>ດິນບອກ</t>
  </si>
  <si>
    <t>ເຫັລກຕັດໃຫ່ຍ20 ຕັດນ້ອຍ25</t>
  </si>
  <si>
    <t>ຊີ້ນໜູ 500,000₭+ຜັກຄັ້ນສົ້ມ 80,000₭+ໝາກເພັດແຫ້ງ 40,000₭+ໄຂ່ໄກ່ ແລະຈັກຕັດເຫັລກ1.4+ຫມວກ…</t>
  </si>
  <si>
    <t>ແຮງງານປັບຫນ້າດິນ</t>
  </si>
  <si>
    <t>ຜ້າໃສຮອງເທພື້ນ</t>
  </si>
  <si>
    <t>ເທພື້ນ</t>
  </si>
  <si>
    <t>ສົບມື</t>
  </si>
  <si>
    <t>ແພຫນ້າກາກຈອດເຫຼັກສີ່ອັນ</t>
  </si>
  <si>
    <t xml:space="preserve">Anxinmala </t>
  </si>
  <si>
    <t>ກຳມະກອນ 12 ຄົນ: 10 ຄົນ ×600,000=6,000,000 ກີບ</t>
  </si>
  <si>
    <t>ບວກ 02 ຄົນ 700,000 ກີບ</t>
  </si>
  <si>
    <t>ຈ່າຍຄ່າແຮງງານຫຼັງຄາກ່ອນສ່ວນຕ່າງ16ລ້ານ 4,000,000 ກີບ</t>
  </si>
  <si>
    <t>ຊື້ຂອງກິນ ໂຊກທະວີ 537,000 ກີບ,</t>
  </si>
  <si>
    <t>ຊື້ປີ້ງປາ 335000ກີບ,</t>
  </si>
  <si>
    <t>ເຂົ້າສວຍ 400,000 ກີບ,</t>
  </si>
  <si>
    <t>ມັນເພົາ 100,000 ກີບ</t>
  </si>
  <si>
    <t>ນໍ້າລາຍວັນ 260,000 ກີບ</t>
  </si>
  <si>
    <t>ສີທາເຫລັກ</t>
  </si>
  <si>
    <t>ເທປູນ198000ບາດ 120ແມັດກາເລ</t>
  </si>
  <si>
    <t>ນໍ້າພໍ່ຊື້</t>
  </si>
  <si>
    <t>ປິ້ງຫມາ</t>
  </si>
  <si>
    <t>ນໍ້າດື່ມ20ຕຸກ</t>
  </si>
  <si>
    <t>ຄ່າແຮງງານໄຟ້າງວດສຸດທ້າຍເດີ</t>
  </si>
  <si>
    <t>ຊີ້ນຫມູ</t>
  </si>
  <si>
    <t>ຫມາກກ້ວຍ 120.000,</t>
  </si>
  <si>
    <t>ແປງນົວ+ນໍ້າມັນ+ປ່ອງປາ+ຫວດເຂົ້າ 260.000,</t>
  </si>
  <si>
    <t>ຜັກຄັ້ນສົ້ມ 80.000,</t>
  </si>
  <si>
    <t>ຊັນໄລລ້າງຈານ 100000</t>
  </si>
  <si>
    <t>ແຮງງານສັກວັກຊິນ ຫອມ</t>
  </si>
  <si>
    <t>ເຫັລກ3155ດອນ</t>
  </si>
  <si>
    <t>ເຝີ</t>
  </si>
  <si>
    <t>ດິນຈີ່2000ກ້ອນ</t>
  </si>
  <si>
    <t>ດິນຈີ່</t>
  </si>
  <si>
    <t>ຈ່າຍ ອາລູຊິງ</t>
  </si>
  <si>
    <t>ຫມາກບີ່ໂມ້</t>
  </si>
  <si>
    <t>ຊີມັງ2ໂຕນ</t>
  </si>
  <si>
    <t>ສະວ່ານ</t>
  </si>
  <si>
    <t>ຖົມດິນທາງຫັລງ30ຄັນ</t>
  </si>
  <si>
    <t>ແຮງງານກໍສ້າງ</t>
  </si>
  <si>
    <t>ຄ່າແຮງງານອ້າຍເພັດ(ໂອນ2450000)</t>
  </si>
  <si>
    <t>ແຮງງານ4ຄົນ2ວັນຄົນລະ2ແສນ</t>
  </si>
  <si>
    <t>ປາ</t>
  </si>
  <si>
    <t>ຕູ້ເຢັນ</t>
  </si>
  <si>
    <t>ເຂົ້າ</t>
  </si>
  <si>
    <t>ຊີ້ນ</t>
  </si>
  <si>
    <t>ດິນບ້ອກ2ມື້ກ່ອນ</t>
  </si>
  <si>
    <t>ມີ່ ປ່ອງປາ</t>
  </si>
  <si>
    <t>ນໍ້າດື່ມ13ຕຸກໃຫ່ຍ</t>
  </si>
  <si>
    <t>ບິກ</t>
  </si>
  <si>
    <t>ອູ່ຜ້ານອນ4ອັນ</t>
  </si>
  <si>
    <t>ປີ້ງຫມູ</t>
  </si>
  <si>
    <t>ໄສ້ ຜັກ ເຂົ້າປຸ້ນ</t>
  </si>
  <si>
    <t>ທະຫານຫັລງຄານາຍມັນ5ຄອກ</t>
  </si>
  <si>
    <t>ທູບຈອດ3ແກັດ</t>
  </si>
  <si>
    <t>ຕານ່າງມັດຈຳທັງຫມົດ680</t>
  </si>
  <si>
    <t>ຕານ່າງ</t>
  </si>
  <si>
    <t>ລໍາໂພງ</t>
  </si>
  <si>
    <t>ຫມໍ້ຄາງ</t>
  </si>
  <si>
    <t>ຈ່າຍເຫັລກຫັລງຄາ =28110000+30405000/21600=2709.03</t>
  </si>
  <si>
    <t>ຫມາກກ້ຽງ</t>
  </si>
  <si>
    <t>ເນັດ3ຫນ່ວຍ 40+3fee</t>
  </si>
  <si>
    <t>1 ເລດ640</t>
  </si>
  <si>
    <t>ຖົງມື</t>
  </si>
  <si>
    <t>ນໍ້າ14ຕຸກ</t>
  </si>
  <si>
    <t>ຜ້າຍາງປູພື້ນກ່ອນເທ19ກໍ້</t>
  </si>
  <si>
    <t>ປາ20ໂລ</t>
  </si>
  <si>
    <t>ແວ່ນ ຄ້ອນ</t>
  </si>
  <si>
    <t>ແປບຊີ້</t>
  </si>
  <si>
    <t>ຂອງກິນແລງ</t>
  </si>
  <si>
    <t>ກໍ້ຢາງ3 ສົບມື13ຄູ່</t>
  </si>
  <si>
    <t>ຂອງກິນນໍ້າກ້ອນ ອື່ນໆ</t>
  </si>
  <si>
    <t>ຊີມັງ2</t>
  </si>
  <si>
    <t>ສີທາເຫັລກ ຍິງກາວ ລັກ19</t>
  </si>
  <si>
    <t>ຖົງມື ລ19</t>
  </si>
  <si>
    <t>ພົ່ນຢາ</t>
  </si>
  <si>
    <t>ວິກຊໍ</t>
  </si>
  <si>
    <t>ປູນເທຄອກ2ຄອກ96ແມັດກ້ອນ 4658.82</t>
  </si>
  <si>
    <t>ຊີມັງ ເຫັລກ</t>
  </si>
  <si>
    <t>ຈ່າຍຕານ່າງດໍາທີ່ມັດຈໍາ ວັນທີ22.03.2025</t>
  </si>
  <si>
    <t>ຊື້ທໍນໍ້າຕໍ່ພື້ນຄອກ</t>
  </si>
  <si>
    <t>ລໍ້ໃສ່ລົດຢູ້130000*8</t>
  </si>
  <si>
    <t>ກ້ຽງ</t>
  </si>
  <si>
    <t>ເຫັລກຕັດ</t>
  </si>
  <si>
    <t>ເຊືອກ</t>
  </si>
  <si>
    <t>ດິນບອກ1000+500ກ້ອນ</t>
  </si>
  <si>
    <t>ແຮງງານກໍ່2ມື້</t>
  </si>
  <si>
    <t>ແຮງງານເຮັດຫັລງຄາ ຄອກ20ລ້ານ ມີຈ່າຍກ່ອນແລ້ວ (ເລດ640)</t>
  </si>
  <si>
    <t>ຊີ້ນ ໄຂ່</t>
  </si>
  <si>
    <t>ໄວໄວ</t>
  </si>
  <si>
    <t>ຊາບະ</t>
  </si>
  <si>
    <t>ເບຍ</t>
  </si>
  <si>
    <t>ທະເລ</t>
  </si>
  <si>
    <t>ຈອກ</t>
  </si>
  <si>
    <t>ໄຊມອນ</t>
  </si>
  <si>
    <t>ແຈ່ວ</t>
  </si>
  <si>
    <t>ແຮງງານລັກ19ກ່ອນກັບປີໃຫມ່ ແລະ ອຸປະກອນຊື້ດ່ວນແກ້ໄຂວຽກກ່ອນນີ້</t>
  </si>
  <si>
    <t>ຄ່າລົດtaxi</t>
  </si>
  <si>
    <t>ເຂົ້າຫນຽວ</t>
  </si>
  <si>
    <t>ຕະລາດ</t>
  </si>
  <si>
    <t>ປີ້ງຫມາ</t>
  </si>
  <si>
    <t>ຄຸດຳ2ໂອ</t>
  </si>
  <si>
    <t>ຊິມັງ</t>
  </si>
  <si>
    <t>ເຫັລກຫັລງຄາ 190.695.000/21600 ຈົດຄືນຂອງວັນສຸກແລ້ວ</t>
  </si>
  <si>
    <t>ສາຍໄຟຈອດ</t>
  </si>
  <si>
    <t>ລົມແຮງ ສາຍໄຟຟ້າຂາດ</t>
  </si>
  <si>
    <t>ຊາຍ</t>
  </si>
  <si>
    <t>ບ້ອກ</t>
  </si>
  <si>
    <t>ລໍາໃຍ</t>
  </si>
  <si>
    <t>sim net</t>
  </si>
  <si>
    <t>ສາຍພານຈັກຂາດໄດ້ຊື້ໃຫມ່</t>
  </si>
  <si>
    <t>ນ່າງຕອງຕຶກປາ</t>
  </si>
  <si>
    <t>ກ່ຽວກັບປາ</t>
  </si>
  <si>
    <t>ຊັ່ງຈຽງ ຕັດເຫັລກ</t>
  </si>
  <si>
    <t>ແຜ່ນອາລູຊິງດູດຫນອງປາ</t>
  </si>
  <si>
    <t>ແປງໄຟຟ້າ</t>
  </si>
  <si>
    <t>ແຮງງານ ໄຟຟ້າ</t>
  </si>
  <si>
    <t>ພໍ່ຈ່າຍນໍ້າດື່ມ ປີ້ງປາຕ່າງໆ</t>
  </si>
  <si>
    <t>ນໍ້າດື່ມ33ຕຸກ</t>
  </si>
  <si>
    <t>ໄຟຟ້າ</t>
  </si>
  <si>
    <t>ຄ່າໄຟຟ້າ</t>
  </si>
  <si>
    <t>ກໍ່ດິນຈີ່</t>
  </si>
  <si>
    <t>ກັນຟ້າຜ່າ</t>
  </si>
  <si>
    <t>ກຸ້ງ</t>
  </si>
  <si>
    <t>ແຮງງານ4ຄົນຫັລງຄາ</t>
  </si>
  <si>
    <t>ຍົກແກບ 2ມື້ 478*1500ກີບ</t>
  </si>
  <si>
    <t>ຍົກແກບດິບ</t>
  </si>
  <si>
    <t>ແກບ260*13000</t>
  </si>
  <si>
    <t>ແກບດິບ</t>
  </si>
  <si>
    <t>ອາລູຊິງ2ຄອກທາງຫັລງ</t>
  </si>
  <si>
    <t>ຂໍ້ງໍ</t>
  </si>
  <si>
    <t>ອາຫານ</t>
  </si>
  <si>
    <t>ອາລູຊິງ ປ່ຽນ10000ເລດ33.00</t>
  </si>
  <si>
    <t>ດິນບ້ອກ</t>
  </si>
  <si>
    <t>ແຮງງານຫັລງຄາສອງຄອກທາງຫັລງ</t>
  </si>
  <si>
    <t>ແຮງງານຊ່າງເພດັ</t>
  </si>
  <si>
    <t>ແຮງງານຊີນ່າ</t>
  </si>
  <si>
    <t>ທໍ່ນໍ້າ</t>
  </si>
  <si>
    <t>ພໍ່ຈ່າຍລົດຈົກດິນ2ມື້</t>
  </si>
  <si>
    <t>ແຜ່ນຕັດເຫັລກ</t>
  </si>
  <si>
    <t>ເຫັລກຊີມັງ ເລດ650</t>
  </si>
  <si>
    <t>ລຸງເພັດ</t>
  </si>
  <si>
    <t>ຊິງຖົງມື</t>
  </si>
  <si>
    <t>ເຂ້າ</t>
  </si>
  <si>
    <t>ນໍ້າ18ຕຸກ</t>
  </si>
  <si>
    <t>ທໍ່ໃສທາງທີ່ຈົກ</t>
  </si>
  <si>
    <t>ຊື້ອຸປະກອນ</t>
  </si>
  <si>
    <t>ແຮງງານໂບກ</t>
  </si>
  <si>
    <t>ດິນຖົມລັກ19 ຈໍານວນ11ລົດ</t>
  </si>
  <si>
    <t>ດິນຈີ່535ກ້ອນ</t>
  </si>
  <si>
    <t>ນໍ້າດື່ມ25ຕຸກ</t>
  </si>
  <si>
    <t>ຊ່າງເພັດ</t>
  </si>
  <si>
    <t>ຊ່າງກໍ່</t>
  </si>
  <si>
    <t>ຄ່າກໍ່ໂບກຝາຄອກໄກ່</t>
  </si>
  <si>
    <t>ຈານ</t>
  </si>
  <si>
    <t>ແຮງງານ ພ+ລ</t>
  </si>
  <si>
    <t>ສະກັດ</t>
  </si>
  <si>
    <t>ກົກກ້ວຍ</t>
  </si>
  <si>
    <t>ນໍ້າມັນ ບັກ</t>
  </si>
  <si>
    <t>ແຮງງານ ທວ</t>
  </si>
  <si>
    <t>ແຮງງານ ລົບ</t>
  </si>
  <si>
    <t>ນໍ້າກ້ອນ</t>
  </si>
  <si>
    <t>ອຸປະກອນຟາມ19</t>
  </si>
  <si>
    <t>ຊີມັງອຸປະກອນ</t>
  </si>
  <si>
    <t>ແຮງງານ ພ+ເລີດ</t>
  </si>
  <si>
    <t>ບ້ອກ400</t>
  </si>
  <si>
    <t>ຕັກແກບ =1270*2000=2,540,000</t>
  </si>
  <si>
    <t>ແກບ 2000</t>
  </si>
  <si>
    <t>ຕລາດ ມະພ້າວ</t>
  </si>
  <si>
    <t>ອ້າຍຫອມຂົນກ້ວຍນໍ້າມັນ ຄ່າບັກ</t>
  </si>
  <si>
    <t>ຊັງຈຽງ</t>
  </si>
  <si>
    <t>ຕົ້ນກ້ວຍ</t>
  </si>
  <si>
    <t>ຕະລາດ ແປບຊີ</t>
  </si>
  <si>
    <t>ເອັມຮ້ອຍ ຖົງມື</t>
  </si>
  <si>
    <t>ເຂົ້າປູ້ນ</t>
  </si>
  <si>
    <t>ນໍ້າມັນ</t>
  </si>
  <si>
    <t>ຕໍ່ທະບຽນ</t>
  </si>
  <si>
    <t>ແຮງງານກໍ່</t>
  </si>
  <si>
    <t>ແຮງງານຫັວນ</t>
  </si>
  <si>
    <t>ສະລິງ</t>
  </si>
  <si>
    <t>ຜຽກລັກຊື້</t>
  </si>
  <si>
    <t>ນໍ້າດື່ມ24</t>
  </si>
  <si>
    <t>ໂບກ</t>
  </si>
  <si>
    <t>Rice</t>
  </si>
  <si>
    <t>ຖົງ</t>
  </si>
  <si>
    <t>ເຂົ້າ ຫມາ ຄົນ</t>
  </si>
  <si>
    <t>ໄຂ່5</t>
  </si>
  <si>
    <t>ເຫັລກຫ້ອຍຜ້າກັ້ງ</t>
  </si>
  <si>
    <t>ນໍ້າ14</t>
  </si>
  <si>
    <t>Oilຕັດຍ້າ</t>
  </si>
  <si>
    <t>oil</t>
  </si>
  <si>
    <t>ຕລາດຊີ້ນ</t>
  </si>
  <si>
    <t>Net</t>
  </si>
  <si>
    <t>ກໍ່ໂບກ</t>
  </si>
  <si>
    <t>ອ້າຍເພັດ+ເລີດ=8,600,000₭,</t>
  </si>
  <si>
    <t>ອ້າຍທ່ຽງ = 3,100,000₭,</t>
  </si>
  <si>
    <t>ອ້າຍທອງວັນ = 3,200,000₭,</t>
  </si>
  <si>
    <t>ລູກອ້າຍທອງວັນ = 1,800,000₭,</t>
  </si>
  <si>
    <t>ນ້ອງຊາຍອ້າຍທ່ຽງ = 150,000₭</t>
  </si>
  <si>
    <t>ລູກຊີ້ນ</t>
  </si>
  <si>
    <t>ແຮງງານຊ່າງລົດ</t>
  </si>
  <si>
    <t>ຄ່າແຮງງານຮັບເຫມົາຈອດຫນ້າຄອກໄກ່ສອງຄອກລຸ່ມເດີ</t>
  </si>
  <si>
    <t>ທໍນໍ້າ ໃສ່ຫນອງ 24435.73ຈ່າຍເປັນດອນ</t>
  </si>
  <si>
    <t>ຕິດຕັ້ງ</t>
  </si>
  <si>
    <t>ອ້າຍຫອມ ສີທາຮາວລົດ ນອດ</t>
  </si>
  <si>
    <t>ລົດຖົມທາງ19 ແລະໄວ້ເທພື້ນ</t>
  </si>
  <si>
    <t>ແຮງງານ ໄຊ</t>
  </si>
  <si>
    <t>ຈັກຍູ້</t>
  </si>
  <si>
    <t>ກັນຊືມ</t>
  </si>
  <si>
    <t>ແຮງງານເພີ່ມຄ່າເທ</t>
  </si>
  <si>
    <t>ຢາແນວຈອກຫັລງຄາຮົ່ວ</t>
  </si>
  <si>
    <t>ນໍ້າ12</t>
  </si>
  <si>
    <t>ປາໃຫ້ ກຳມາກອນ</t>
  </si>
  <si>
    <t>ຄ່າໂອນຊື້ຜ້າຢາງ</t>
  </si>
  <si>
    <t>pvc</t>
  </si>
  <si>
    <t>ຄາຊີມັງເດີ</t>
  </si>
  <si>
    <t>ຄ່າຂົນສ່ງbkk-nongkhai</t>
  </si>
  <si>
    <t>ຂົນສົ່ງ</t>
  </si>
  <si>
    <t>ແຮງງານລຸງລົດ</t>
  </si>
  <si>
    <t>Oilເຂ້າປຽກຂົນຜ້າຢາງ</t>
  </si>
  <si>
    <t>ຜ້າຍາງຂົນສ່ງໄທລາວ</t>
  </si>
  <si>
    <t>Global</t>
  </si>
  <si>
    <t>ຮາງອາຫານໄກ່ ໃຫ້ຫວຽດ ມັດຈຳ (=5000*21700=108,500,000)</t>
  </si>
  <si>
    <t>ຮາງອາຫານ</t>
  </si>
  <si>
    <t>ແປ້ງນົວ</t>
  </si>
  <si>
    <t>ເກືອ</t>
  </si>
  <si>
    <t>ເຄື່ອງກໍສ້າງ</t>
  </si>
  <si>
    <t>ຈອດ</t>
  </si>
  <si>
    <t>ຄ່າຊ່ວຍເທ</t>
  </si>
  <si>
    <t>ຄ່າຫີນລົດຫນຶ່ງ</t>
  </si>
  <si>
    <t>ຄ່າຮັບກໍ່ໂບກຮ່ອງຕິດຕັ້ງຮັງເຜິ້ງ</t>
  </si>
  <si>
    <t>ລົດຫີນ</t>
  </si>
  <si>
    <t>ແຮງງານລຸງລົດຈອດຫັລງຄາຮົ່ວ</t>
  </si>
  <si>
    <t>ນໍ້າ13</t>
  </si>
  <si>
    <t>ເຫັລກຮົ້ວມາກກ້ອກ</t>
  </si>
  <si>
    <t>ຊາຍຫີນ</t>
  </si>
  <si>
    <t>ແຮງງານ ຊ ເພັດ</t>
  </si>
  <si>
    <t>ແຮງງານ ພ ລ</t>
  </si>
  <si>
    <t>ແກບ160</t>
  </si>
  <si>
    <t>ຍົກແກບ</t>
  </si>
  <si>
    <t>ເປົາແກບ160*2800</t>
  </si>
  <si>
    <t>ເປົາແກບ</t>
  </si>
  <si>
    <t>ຜັກ ປີລົດ</t>
  </si>
  <si>
    <t>ແຮງງານຈອດປະຕູ 25ບານ ານລະ250000</t>
  </si>
  <si>
    <t>ນ້ອດ</t>
  </si>
  <si>
    <t>ຈໍາ ພາເລດ</t>
  </si>
  <si>
    <t>ພາເລດ</t>
  </si>
  <si>
    <t>ເສົາໄຟຟ້າໃຫ່ຍ ພໍ່ຈ່າຍ</t>
  </si>
  <si>
    <t>ຕູ້ເຢັນພໍ່ຈ່າຍ</t>
  </si>
  <si>
    <t>ເຄື່ອງໃຊ້</t>
  </si>
  <si>
    <t>ນໍ້າດື່ມ10ຕ</t>
  </si>
  <si>
    <t>ຊິມັງ ແລກເລດ21900</t>
  </si>
  <si>
    <t>ລໍ້ ສາຍດືງ</t>
  </si>
  <si>
    <t>ຄ່າແຮງງານຮັບເໝົາເຮັດປະຕູຮົ່ວສີ່ປະຕູ ປະຕູລະຫົກແສນກີບ</t>
  </si>
  <si>
    <t>ໃບຕັດໃຫ່ຍ</t>
  </si>
  <si>
    <t>ໃບຕັດຊີມັງ</t>
  </si>
  <si>
    <t>ແກບ220</t>
  </si>
  <si>
    <t>ຂົນແກບ</t>
  </si>
  <si>
    <t>ອຸປະກອນດອກໄຟ</t>
  </si>
  <si>
    <t>ຊ່າງໄຟ ຈ່າຍກ່ອນ ເຫລົ້າຂວ</t>
  </si>
  <si>
    <t>ເລັກ ແບ່ງໄປນາສ້ຽວແດ່ 26ເສັ້ນ</t>
  </si>
  <si>
    <t>ຄ່າຫີນຊາຍ</t>
  </si>
  <si>
    <t>ແຮງງານເທ ໂບກ</t>
  </si>
  <si>
    <t>ຊື້ເຄຶ່ອງ</t>
  </si>
  <si>
    <t>ນ່າງ</t>
  </si>
  <si>
    <t>ສາຍໄຟ ກອກຮົ້ວ</t>
  </si>
  <si>
    <t>ຖັງນໍ້າ2ຂ້າເຊື້ອ</t>
  </si>
  <si>
    <t>ເບຍ ນໍ້າ</t>
  </si>
  <si>
    <t>ຊັນໄລ</t>
  </si>
  <si>
    <t>ຂົນແກບແຮງງານຍົກ</t>
  </si>
  <si>
    <t>ຄ່າແຮງງານຮັບເຫມົາຕໍ່ເຫລັກຍົກແພຢາງອ້ອມຂ້າງຄອກໄກ່ຫລັກສິບເກົ້າ</t>
  </si>
  <si>
    <t>ແກບ</t>
  </si>
  <si>
    <t>ເສົາຕັ້ງສາຍໄຟ6ຕົ້ນ</t>
  </si>
  <si>
    <t>ຊ່າງຕໍ່ໄຟ</t>
  </si>
  <si>
    <t>ນ້ອດຍີງ5 ທູບ ຊິລິໂຄນ</t>
  </si>
  <si>
    <t>ສາຍເນັ່ງ</t>
  </si>
  <si>
    <t>ຮາງອາຫານ (ແລກ15000*21900)</t>
  </si>
  <si>
    <t>ປ່ອງສີ,ນ້ອດ</t>
  </si>
  <si>
    <t>ຮາງໄກ່ (ເລດ 21900 ແລກ 11000)</t>
  </si>
  <si>
    <t>Rice1ເປົາ ຖ່ານ</t>
  </si>
  <si>
    <t>ເຂົ້າ1ເປົາ</t>
  </si>
  <si>
    <t>ທໍ່</t>
  </si>
  <si>
    <t>ທໍດັດ</t>
  </si>
  <si>
    <t xml:space="preserve">Makro </t>
  </si>
  <si>
    <t>ໂກໂບ</t>
  </si>
  <si>
    <t>ພາສີ</t>
  </si>
  <si>
    <t>ແຮງງານກຳມາກອນ</t>
  </si>
  <si>
    <t>ນໍ້າ17ຕຸກ</t>
  </si>
  <si>
    <t>ປັກໄຟ</t>
  </si>
  <si>
    <t>ແຍກໄກ່ຜູ່ແມ່</t>
  </si>
  <si>
    <t>ຂົນສົ່ງຮາງອາຫານ</t>
  </si>
  <si>
    <t>ນາຍບ້ານ</t>
  </si>
  <si>
    <t>ຜ້າຢາງ1ກາວ5ຂົນສົ່ງມາແຕ່ໄທ 9370ບາດ</t>
  </si>
  <si>
    <t>ແປ່ງນົວ</t>
  </si>
  <si>
    <t>ເຄື່ອງອຸປະກອນ</t>
  </si>
  <si>
    <t>ໂຊລ່າເຊວ</t>
  </si>
  <si>
    <t>ຂໍ້ຕໍ່ ງໍ</t>
  </si>
  <si>
    <t>ສີກັນມ້ຽງ2ຖັງ</t>
  </si>
  <si>
    <t>ນໍ້າດື່ມ15ຕຸກ</t>
  </si>
  <si>
    <t>ໄດ</t>
  </si>
  <si>
    <t>ຂົນສົ່ງເຄື່ອງ</t>
  </si>
  <si>
    <t>ທໍ່ ກາວ</t>
  </si>
  <si>
    <t>ແກບ230</t>
  </si>
  <si>
    <t>Oilຂົນແກບ230ເປົາ</t>
  </si>
  <si>
    <t>ອ້າຍຫອມoil</t>
  </si>
  <si>
    <t>ຂົນສົ່ງ ກໍ້ຢາງ300ບາດ</t>
  </si>
  <si>
    <t>ແກບ245</t>
  </si>
  <si>
    <t>Oil2ຖ້ຽວ ແຮງງານຂັບລົດ</t>
  </si>
  <si>
    <t>ທະບຽນຟາມ</t>
  </si>
  <si>
    <t>ສາຍທໍ່</t>
  </si>
  <si>
    <t>ແກັດ</t>
  </si>
  <si>
    <t>Gas</t>
  </si>
  <si>
    <t>ອັດ</t>
  </si>
  <si>
    <t>ອື່ນໆ</t>
  </si>
  <si>
    <t>ເຄື່ອງເຊນເຊີໄຟ</t>
  </si>
  <si>
    <t>Oil ເອົາແກບ ແຮງງານ</t>
  </si>
  <si>
    <t>ດອກໄຟ</t>
  </si>
  <si>
    <t>ຄ່າເຄື່ອງວັດອຸນຫະພູມ</t>
  </si>
  <si>
    <t>ອຸປະກອນ ລ້ຽງໄກ່</t>
  </si>
  <si>
    <t>ເຊື່ອນອນວຽດ</t>
  </si>
  <si>
    <t>ດອກໄຟ72ດອກ14ວັດ</t>
  </si>
  <si>
    <t>ຂົນແກບ227ເປົາ</t>
  </si>
  <si>
    <t>ທູບຈອດເຫັລກຕັດ</t>
  </si>
  <si>
    <t>ແຮງງານແປງໄຟ</t>
  </si>
  <si>
    <t>ຖັງ</t>
  </si>
  <si>
    <t>ແກັດ3ຖັງ</t>
  </si>
  <si>
    <t>ພໍ່ຈ່າຍບໍລິຫານລວມ</t>
  </si>
  <si>
    <t>ແກບ240</t>
  </si>
  <si>
    <t>ຕັ່ງ19ຫນ່ວຍ</t>
  </si>
  <si>
    <t>ແຮງງານລະບົບໄຟ</t>
  </si>
  <si>
    <t>ນໍ້າມັນ ແຮງງານ</t>
  </si>
  <si>
    <t>ແຮງງານ ກມກ ລວມ</t>
  </si>
  <si>
    <t>ຕັ່ງ</t>
  </si>
  <si>
    <t>ຫມໍ້ໄຟ</t>
  </si>
  <si>
    <t>ທ ວຸ</t>
  </si>
  <si>
    <t>ຜ້າກັ້ງ</t>
  </si>
  <si>
    <t>ເນັດ</t>
  </si>
  <si>
    <t>ຊື້ຟອຍ</t>
  </si>
  <si>
    <t>ທມັງ ໄຟຟ້າ</t>
  </si>
  <si>
    <t>ກັນມ້ຽງ</t>
  </si>
  <si>
    <t>ສາຍໄຟຕໍ່ກົງເຕ</t>
  </si>
  <si>
    <t>ອຸປະກອນໄຟຟ້າ</t>
  </si>
  <si>
    <t>ແຮງງານໄຟຟ້າ</t>
  </si>
  <si>
    <t>ສາຍໄຟສອງຄອກລຸ່ມ</t>
  </si>
  <si>
    <t>ນໍ້າ16ຕຸກ</t>
  </si>
  <si>
    <t>ປະຕູແກ້ວ</t>
  </si>
  <si>
    <t>ເຄື່ອງທໍ່ນຳ້</t>
  </si>
  <si>
    <t>ຫມໍ້ແບ່ງ</t>
  </si>
  <si>
    <t>ໄດ2</t>
  </si>
  <si>
    <t>ກໍ້ໄຟ</t>
  </si>
  <si>
    <t>ນ່າງດຳ2420y</t>
  </si>
  <si>
    <t>ທໍນໍ້າແຮງງານ</t>
  </si>
  <si>
    <t>Family ພ</t>
  </si>
  <si>
    <t>ສາຍໄຟດຳ</t>
  </si>
  <si>
    <t>ສີກັນມ້ຽງ</t>
  </si>
  <si>
    <t>ເງິນເດືອນຂໍລ່ວງຫນ້າ ທ ນິນ</t>
  </si>
  <si>
    <t>ເງິນເດືອນ</t>
  </si>
  <si>
    <t>ກຳແພງ 335.270.000ກີບ ພໍ່ໃຊ້ຄືນ 15379.36</t>
  </si>
  <si>
    <t>ກຳແພງ</t>
  </si>
  <si>
    <t>ແຮງງານສັກໄກ່ oil ທີມສວນ</t>
  </si>
  <si>
    <t>ແຮງງານໄຟ ມັງ</t>
  </si>
  <si>
    <t>ສະກອດຕິດສາຍໄຟ ອື່ນໆ</t>
  </si>
  <si>
    <t xml:space="preserve">ທໍ່ ເຫັລກ </t>
  </si>
  <si>
    <t>ສານໄຟ ເຫັລກຍູ້ລໍ້</t>
  </si>
  <si>
    <t>ສັນຕິພາບ</t>
  </si>
  <si>
    <t>Mkro</t>
  </si>
  <si>
    <t>ເຂົ້າ2ເປົາ</t>
  </si>
  <si>
    <t>ຄ່າຜ່າກັນແສດແດດອ້ອມທັງນໍ້າໄກ່</t>
  </si>
  <si>
    <t>ນໍ້າ22</t>
  </si>
  <si>
    <t>ຄາແຮງງານທະຫານສາມຄົນເດີ</t>
  </si>
  <si>
    <t>ແຮງ</t>
  </si>
  <si>
    <t>Oil2ວັນ ສສວ ແດ່</t>
  </si>
  <si>
    <t>ກາວ6ກ່ອງຈາກໄທ3660ບາດ</t>
  </si>
  <si>
    <t>ສັກໄກ່ ແບ່ງກັນຈ່າຍ 0,393+3,5+2</t>
  </si>
  <si>
    <t>ຂຸດຄອງນໍ້າຝົນຄອກໄກ່ ຕ້ນພ້າວຂຸດດິນ</t>
  </si>
  <si>
    <t>ດິນ 11 ລົດ ຖົມກຳແພງ</t>
  </si>
  <si>
    <t>ແຮງງານລລົດ</t>
  </si>
  <si>
    <t>ກາວ 100</t>
  </si>
  <si>
    <t>ດິນຖົມກຳແພງ</t>
  </si>
  <si>
    <t>ຄ່າຫນາມຫມາກຈັບເດີ</t>
  </si>
  <si>
    <t>ແຮງງານ ລລົດ</t>
  </si>
  <si>
    <t>ຂອງແຫ້ງ</t>
  </si>
  <si>
    <t>ແຮງງານຕັກແກບຂາຍ =160*2000=320,000</t>
  </si>
  <si>
    <t>ກ່ຽວເຂົ້າ</t>
  </si>
  <si>
    <t>ຂາຍເຂົ້າ</t>
  </si>
  <si>
    <t>ຄ່າແທ່ງຫ້ອງນໍ້າ 3.9</t>
  </si>
  <si>
    <t>ຄ່າແທ່ງ+ຫີນ+ຊາຍ 4.9</t>
  </si>
  <si>
    <t>ຖົມດິນ =11*1100000=12,100,000</t>
  </si>
  <si>
    <t>ແຮງງານເທຄອງ</t>
  </si>
  <si>
    <t>ຄ່າທໍ່ລວງນໍ້າສ່າງເດີ</t>
  </si>
  <si>
    <t>ຄ່າເຄື່ອງ</t>
  </si>
  <si>
    <t>ມ້າງເຮືອນລັກ19</t>
  </si>
  <si>
    <t>Diyຜ້າປິດປາກ10ກັບ</t>
  </si>
  <si>
    <t>ກະແຈ3</t>
  </si>
  <si>
    <t>ອຸປະກອນ</t>
  </si>
  <si>
    <t>ອຸປະກອບຖັງນໍ້າ</t>
  </si>
  <si>
    <t>ແຮງງານຢອດໄກ່ ອຫອມ</t>
  </si>
  <si>
    <t>ອຸປະກອນເຈາະເສົາຮົ້ວ</t>
  </si>
  <si>
    <t>ຈໍາຮາງອາຫານ ຄອກ4+5</t>
  </si>
  <si>
    <t>ແຮງງານ1.9ຄ້າງຈ່າຍລົບອອກແລ້ວ</t>
  </si>
  <si>
    <t>ເຟື້ອງ300</t>
  </si>
  <si>
    <t>ເຟືອງ</t>
  </si>
  <si>
    <t>ບາດານ 69ແມັດ</t>
  </si>
  <si>
    <t>ແປງໄຟເຮືອນຄົວ</t>
  </si>
  <si>
    <t>ບາດານ</t>
  </si>
  <si>
    <t>ໄຟຫົວອາຫານ</t>
  </si>
  <si>
    <t>ຈໍາແນວອັດພັດລົມ</t>
  </si>
  <si>
    <t>ແກບ270</t>
  </si>
  <si>
    <t>ຍົກແກບ270</t>
  </si>
  <si>
    <t>ແປງລົດໄຟຟ້າ</t>
  </si>
  <si>
    <t>ນໍ້າມັນໄປເອົາແກບ2ມື້</t>
  </si>
  <si>
    <t>ລົດດຸດຖົມນາ</t>
  </si>
  <si>
    <t>ຂີ້ໄກ່100ເປົາ ຖົມປູກຕົ້ນໄມ້ທາງຫັລງ</t>
  </si>
  <si>
    <t>ຜ້າປູເຂົ້າ</t>
  </si>
  <si>
    <t>ປູກເຂົ້າ</t>
  </si>
  <si>
    <t>ນໍ້າມັນໄປກ່ຽວເຂົ້າ</t>
  </si>
  <si>
    <t>ບອກ</t>
  </si>
  <si>
    <t>ລອດໄຟ</t>
  </si>
  <si>
    <t>ແຮງງານໄຟ້າມັ່ງ</t>
  </si>
  <si>
    <t>ບໍຈື່ລາຍລະອຽດທີ ແຮຝງານເອົາໄປກ່ອນເລີຍຫານຈາກບ້ວງໂອນ13920000ອອກໃສ່ແຮງງານ 10ລ</t>
  </si>
  <si>
    <t>ຈ່າຍຮາງອາຫານຄອກ4+5</t>
  </si>
  <si>
    <t>ແຮງງານຍົກລົງ</t>
  </si>
  <si>
    <t>ແກບ165</t>
  </si>
  <si>
    <t>ຍົກແກບ165</t>
  </si>
  <si>
    <t>Oil ເອົາແກບ ກິນເຂົ້າ1ແສນ</t>
  </si>
  <si>
    <t>ແກບ216*13000</t>
  </si>
  <si>
    <t>ໄຟຟ້າລັກ19</t>
  </si>
  <si>
    <t>ງວດ2 ຄອກ 45</t>
  </si>
  <si>
    <t>ຊີມັງ 3.2</t>
  </si>
  <si>
    <t>ບອກ 2</t>
  </si>
  <si>
    <t>ລວງນໍ້າບາດດານ</t>
  </si>
  <si>
    <t>ລວດ</t>
  </si>
  <si>
    <t>ແຮງງານອາຫານ</t>
  </si>
  <si>
    <t>ນໍ້າ20ຕຸກ</t>
  </si>
  <si>
    <t>ຫົວດອກໄຟ</t>
  </si>
  <si>
    <t>ຂົນສົ່ງຈີນ 884000</t>
  </si>
  <si>
    <t>ກ້ອງ10</t>
  </si>
  <si>
    <t>ກ້ອງ</t>
  </si>
  <si>
    <t>Family ມ</t>
  </si>
  <si>
    <t>ແຮງງານຕິດຕັ້ງໄຟຄອກໄກ່</t>
  </si>
  <si>
    <t>ຜ້າດຳ</t>
  </si>
  <si>
    <t>ເບ້ຍ</t>
  </si>
  <si>
    <t>ກັນນອກ4</t>
  </si>
  <si>
    <t>ນໍ້າ8ຕຸກ</t>
  </si>
  <si>
    <t>ແກບເຂົ້າຄອກ</t>
  </si>
  <si>
    <t>ຂົນສົ່ງແກ້ວປິ່ນ</t>
  </si>
  <si>
    <t>ຂ່າ</t>
  </si>
  <si>
    <t>ກະແຈ</t>
  </si>
  <si>
    <t>ນໍ້າປາປາ</t>
  </si>
  <si>
    <t>ຄ່ານໍ້າປະປາ</t>
  </si>
  <si>
    <t>ແຮງງານລົດ</t>
  </si>
  <si>
    <t>ສາຍມັດ</t>
  </si>
  <si>
    <t>ສັກວັກຊິນ ໂຕລະ100ກີບຄ່າຊັກ</t>
  </si>
  <si>
    <t>ແຕະຢຽບ5</t>
  </si>
  <si>
    <t>ໄຟຟ້າ19</t>
  </si>
  <si>
    <t>ປູກຂ່າ</t>
  </si>
  <si>
    <t>ໄຟຟ້າ 19 0032335 ສພ</t>
  </si>
  <si>
    <t>ຄ່າທາງ. 6364</t>
  </si>
  <si>
    <t>ຄ່າທາງ ອລ 3699</t>
  </si>
  <si>
    <t>ໂອນຄ່າຂາຍເຂົ້າໃຫ້ເພີນ</t>
  </si>
  <si>
    <t>ຕັດຫຍ້າ</t>
  </si>
  <si>
    <t>ຊິງ</t>
  </si>
  <si>
    <t>ແຫ</t>
  </si>
  <si>
    <t>Net3*35</t>
  </si>
  <si>
    <t>ຄ່າເສືອກມັດ</t>
  </si>
  <si>
    <t>ສັກວັກຊິນ 150ກີບ/ໂຕ</t>
  </si>
  <si>
    <t>ຜ້າອັດປາ</t>
  </si>
  <si>
    <t>Kk</t>
  </si>
  <si>
    <t>ກໍ້ດຳ</t>
  </si>
  <si>
    <t xml:space="preserve">ແຮງງານມັງ </t>
  </si>
  <si>
    <t>Solar</t>
  </si>
  <si>
    <t>ແຮງງານ2ວັນ</t>
  </si>
  <si>
    <t>laborເອົາກ່ອນໄປໄຊຍະ</t>
  </si>
  <si>
    <t>ໂມບຸນ</t>
  </si>
  <si>
    <t>laborເອົາກ່ອນ ຢູໄຊຍະ ຂໍກ່ອນ5ແສນ ຈ້າງລົດ ແຕ່ໂອນ1ລ້ານ</t>
  </si>
  <si>
    <t>ຜັກປູກ</t>
  </si>
  <si>
    <t>ນໍ້າດື່ມ20</t>
  </si>
  <si>
    <t>ນໍ້າ ປະປາ ລ19</t>
  </si>
  <si>
    <t>ເກືອ ນໍ້າຕານ</t>
  </si>
  <si>
    <t>ປ້ານວາຍນິວ2ປ້າຍ</t>
  </si>
  <si>
    <t>ປ້າຍ</t>
  </si>
  <si>
    <t>ເຂັມຍິບເປົາ</t>
  </si>
  <si>
    <t>ອຸປະກອນຕັກແກບ</t>
  </si>
  <si>
    <t>ຝອຍ</t>
  </si>
  <si>
    <t>ຊ້ວນຕັກແກບ</t>
  </si>
  <si>
    <t>ຕັດເງິນຊື້ແສນເຊີຕັດໄຟ 840.000</t>
  </si>
  <si>
    <t>ກັບຕີດຕັ້ງຕູ້ໄຟ 750.000</t>
  </si>
  <si>
    <t>ແຮງງານຕັກແກບຂາຍ =350*2000=700,000</t>
  </si>
  <si>
    <t>ຫວຽດໂອນເງິນຄ່າສັກວັກຊິນຄືນໃຫ້</t>
  </si>
  <si>
    <t>ນໍ້າມັນຂົນຄົນມາຕັກແກບອອກ</t>
  </si>
  <si>
    <t>ອານາໄມຄອກ</t>
  </si>
  <si>
    <t>ຕັກແກບ =408*2000=816,000 ຜູ້ຊື້ຈ່າຍຄ່າຕັກແກບກ່ອນ, ອ້າຍຫອມໄປສົ່ງ (3 ຄັ້ງ) ລວມ 571 ເປົາ</t>
  </si>
  <si>
    <t>ຂາຍແກບ</t>
  </si>
  <si>
    <t>ຂາຍແກບ 3 ເປົາ ຫມູ່ອ້າຍ</t>
  </si>
  <si>
    <t>ຈອດປະຕູຄອກໄກ່ເພີ່ມ10ບານໃຫ້ເຂົ້າອອກງ່າຍ</t>
  </si>
  <si>
    <t>Net =35*5=175</t>
  </si>
  <si>
    <t>ຕລາດ ນອດ ຍາງ</t>
  </si>
  <si>
    <t>ຕັກແກບ ເປົາ 2000 ກີບ ແລະ ຍົກແກບອອກມານອກຄອກ 1000 ກີບ ຈ/ນ301ເປົາ</t>
  </si>
  <si>
    <t>ແກບ 3000</t>
  </si>
  <si>
    <t>ຕັກແກບ ເປົາ 2000 ກີບ ແລະ ຍົກແກບອອກມານອກຄອກ 1000 ກີບ ຈ/ນ433ເປົາ</t>
  </si>
  <si>
    <t>ຂາຍແກບ 20 ເປົາ</t>
  </si>
  <si>
    <t>ນໍ້າດື່ມ 16ຕຸກ</t>
  </si>
  <si>
    <t>ຂາຍແກບ 500 ເປົາ</t>
  </si>
  <si>
    <t>ຂາຍແກບ 350 ເປົາ</t>
  </si>
  <si>
    <t>ຕັກແກບ ແລະ ລາກອອກຄອກ =200*3000=600,000</t>
  </si>
  <si>
    <t>ດິນປູກຜັກ</t>
  </si>
  <si>
    <t>ປ້າຍປະຕູ</t>
  </si>
  <si>
    <t>ລໍ້ຍູແກບ3ອັນ</t>
  </si>
  <si>
    <t>ຍົກແກບອອກຄອກ =1522*1000=1,522,000</t>
  </si>
  <si>
    <t>ແກບ 1000</t>
  </si>
  <si>
    <t>ຍົກແກບອອກຄອກ =120+200+153=473*3000=1,419,000 ເປົາ</t>
  </si>
  <si>
    <t>ຕັກແກບ ແລະ ລາກອອກຄອກ =526*1000=526,000</t>
  </si>
  <si>
    <t>ຕັກແກບ ແລະ ລາກອອກຄອກ =210*3000=630,000</t>
  </si>
  <si>
    <t>labor</t>
  </si>
  <si>
    <t>ທະບຽນວິສະຫະກິດ</t>
  </si>
  <si>
    <t>ຂາຍແກບ23*22000</t>
  </si>
  <si>
    <t>ຂາຍແກບ 6ປ+4ປ ກ່ອນ</t>
  </si>
  <si>
    <t>ຂາຍແກບ ໃສ່ສວນ 6</t>
  </si>
  <si>
    <t>ຂາຍແກບ 30 ເປົາ ຊ່າງເພັດຈ່າຍທີ່ 14.02.2026</t>
  </si>
  <si>
    <t>ຂາຍແກບ45*22000</t>
  </si>
  <si>
    <t>ແຮງງານ4ຄົນຂົນແກບປຽກອອກຈາກຄອກ ອານາໄມ</t>
  </si>
  <si>
    <t>ຫົວອາຫານໄກ່</t>
  </si>
  <si>
    <t>ຫວຽດໄໝ</t>
  </si>
  <si>
    <t>ຂາຍແກບ 802 (7 ຄັ້ງ ມາຂົນ) ຈ່າຍທີ 7/4/2026</t>
  </si>
  <si>
    <t>ລ້າງຄອກ</t>
  </si>
  <si>
    <t>ຊື້ແກບ 6 ໃສ່ສວນຫັລງຫ້ອງນໍ້າ</t>
  </si>
  <si>
    <t>ສາຍຢາງ</t>
  </si>
  <si>
    <t>ຕູ້ເເຊ່</t>
  </si>
  <si>
    <t>ແກບດິບ219*13000</t>
  </si>
  <si>
    <t>ຍົກແກບຂຶ້ນ219</t>
  </si>
  <si>
    <t>ລ້າງຄອກ 4 ຄົນ</t>
  </si>
  <si>
    <t>ເຊື່ອນອນ</t>
  </si>
  <si>
    <t>ຕັກແກບປຽກ  =158*3000=474,000</t>
  </si>
  <si>
    <t>ແຮງງານເລັ່ງຍ້າຍແກບອອກຄອກ</t>
  </si>
  <si>
    <t>ແຮງງານ ຍົກແກບອອກດ່ວນ</t>
  </si>
  <si>
    <t>ແກບດິບ 240*13000</t>
  </si>
  <si>
    <t>ຍົກແກບ240*1500</t>
  </si>
  <si>
    <t>Oil ຂັບລົດ</t>
  </si>
  <si>
    <t>ນໍ້າ18*12000</t>
  </si>
  <si>
    <t>ເຊື່ອນອນ ພງ</t>
  </si>
  <si>
    <t>ຂາຍແກບ =236*22000=5192000</t>
  </si>
  <si>
    <t>ຜ້າປິດປາກ20ກັບ</t>
  </si>
  <si>
    <t>ດາດປາກ</t>
  </si>
  <si>
    <t>ນໍ້າ ປປ ລັກ19</t>
  </si>
  <si>
    <t>ໄຟຟ້າ ລ 19</t>
  </si>
  <si>
    <t>ໄຟຟ້າ ລ 19.</t>
  </si>
  <si>
    <t>ວັກຊິນ</t>
  </si>
  <si>
    <t>ເງິນລາງວັນ</t>
  </si>
  <si>
    <t>bonus</t>
  </si>
  <si>
    <t>ນອດ</t>
  </si>
  <si>
    <t>ສ້ອມແປງ</t>
  </si>
  <si>
    <t>ຖູພື້ນ</t>
  </si>
  <si>
    <t>ຂາຍໄກ່</t>
  </si>
  <si>
    <t>ຕັກແກບ230</t>
  </si>
  <si>
    <t>ນໍ້າມັນຍົກແກບ 230</t>
  </si>
  <si>
    <t xml:space="preserve">Shoe =24*32000=768,000 </t>
  </si>
  <si>
    <t>ນໍ້າດື່ມ =14*12=</t>
  </si>
  <si>
    <t>ແຮງງານເມຍຊ່າງທ່ຽງເອົາກັບເຊກອງ2ຄອກຫັລງ</t>
  </si>
  <si>
    <t>ແກບດິບ230*13000</t>
  </si>
  <si>
    <t xml:space="preserve">ແກບດິບ =238*13000=3,094,000 </t>
  </si>
  <si>
    <t>Oilຂົນແກບດິບ</t>
  </si>
  <si>
    <t>ຂາຍເຟືອງ2</t>
  </si>
  <si>
    <t>Mrt</t>
  </si>
  <si>
    <t>Vac</t>
  </si>
  <si>
    <t>ຕຸກຢາງ</t>
  </si>
  <si>
    <t>ອຸປະກອນສະກອດມັດຮາງໄກ່</t>
  </si>
  <si>
    <t>ແກບ =260*13000=</t>
  </si>
  <si>
    <t>ເຄື່ອງໃຊ້ເພ</t>
  </si>
  <si>
    <t>ຄ່າຍົກແກບດິບ =260*1500=390,000</t>
  </si>
  <si>
    <t>oilເອົາແກບດິບ 260</t>
  </si>
  <si>
    <t>ຍົກແກບດິບ =264*1500</t>
  </si>
  <si>
    <t>ແກບດິບ 264</t>
  </si>
  <si>
    <t>ແປງປ່ອງຍ້ຽມຕົກ</t>
  </si>
  <si>
    <t>ແມ່ເພີ່ມກ້ອງ3ຫນ່ວຍ ແລະແປງໂຕເພ</t>
  </si>
  <si>
    <t>ທະບຽນບໍມີຊື່ພາສາອັງກິດແປງໃຫມ່</t>
  </si>
  <si>
    <t>ນໍ້າດື່ມ25*12</t>
  </si>
  <si>
    <t>ເຄື່ອງມັດ</t>
  </si>
  <si>
    <t>ນໍ້າປະປາ</t>
  </si>
  <si>
    <t>ແກບ250*13000</t>
  </si>
  <si>
    <t>ແຮງງານລ້ຽງໄກ່</t>
  </si>
  <si>
    <t>ແກບ =255*13000</t>
  </si>
  <si>
    <t>ນໍ້າມັນ+ເຂົ້າສວຍ</t>
  </si>
  <si>
    <t>ຍົກແກບ 255*1500</t>
  </si>
  <si>
    <t>ນໍ້າ15*15</t>
  </si>
  <si>
    <t>ຂາຍແກບ =802*22000=17,644,000  ຂອງວັນທີ 23/2/2026ຫາຈ່າຍໃຫ້ຜູ້ຊື້ກ່ອນ ຍ້ອນເງິນບໍລິຫານໃກ້ຫມົດ ຂ້ອຍໄດ້ໂອນລ່ວງຫນ້າໃຊ້ກອງກາງ 7ຄັ້ງມາເອົາ</t>
  </si>
  <si>
    <t>ຂາຍແກບ =10*25000</t>
  </si>
  <si>
    <t>ຂາຍແກບ =791*22 (ລົບຄ່າຕັກເອງ435ເປົາ*2000) ຍັງຄ້າງ =791*22000-(435*2000)=16532000-3000000=13,532,000 ຍັງຕິດຫນີ້</t>
  </si>
  <si>
    <t>ຂາຍແກບ =791*22 (ລົບຄ່າຕັກເອງ435ເປົາ*2000) ຍັງຄ້າງ =791*22000-(435*2000)=16532000-3000000=13,532,000 ລຸດ2000ກີບ</t>
  </si>
  <si>
    <t xml:space="preserve">ສັກວັກຊິນ4ມື້ </t>
  </si>
  <si>
    <t>ຄ່າອາຫານນໍ້າມັນມາສັກແກບ</t>
  </si>
  <si>
    <t>Vac ແຮງງານຈ່າຍເພີ່ມ</t>
  </si>
  <si>
    <t>ແປ້ງນົວ2</t>
  </si>
  <si>
    <t>ແກບ (3000ແກບ, 2000ຕັກ, 1500ຂຶນລົດ)</t>
  </si>
  <si>
    <t>ຂາຍແກບ22*30ປ</t>
  </si>
  <si>
    <t>ຂາຍຍົກຂຶ້ນລົດ</t>
  </si>
  <si>
    <t>ຂາຍແກບ ຈ້າງຍົກ</t>
  </si>
  <si>
    <t>ຂາຍແກບ25*30ປ</t>
  </si>
  <si>
    <t>ຂາຍແກບ25*20ປ</t>
  </si>
  <si>
    <t>ນໍ້າດື່ມ20ຕ</t>
  </si>
  <si>
    <t>ແກບດິບ255*13</t>
  </si>
  <si>
    <t>ຍົກແກບດິບ =255*1500</t>
  </si>
  <si>
    <t>ຂາຍແກບຕິດຫນີ້ 275ຈະຈ່າຍມື້ຫນ້າ</t>
  </si>
  <si>
    <t>ເຜັດນໍ້າມັນ</t>
  </si>
  <si>
    <t>ແກບດິບ 160*8000</t>
  </si>
  <si>
    <t>ເສື້ອ 16ໂຕຈຳ</t>
  </si>
  <si>
    <t xml:space="preserve">Vac </t>
  </si>
  <si>
    <t>ຂາຍແກບ25*5ປ</t>
  </si>
  <si>
    <t>ນໍ້າດື່ມ14ຕ</t>
  </si>
  <si>
    <t>ຂາຍແກບ22*100ປ</t>
  </si>
  <si>
    <t>ນໍ້າດື່ມ15*15</t>
  </si>
  <si>
    <t>ຍົກແກບ10 ຍ້າຍມາຄຳຮຸ່ງ10ໄດ້ຂາຍ6</t>
  </si>
  <si>
    <t>ຂາຍແກບ25*6ປ</t>
  </si>
  <si>
    <t>ຂາຍແກບ25*10ປ</t>
  </si>
  <si>
    <t>ແປ້ງນົວ..</t>
  </si>
  <si>
    <t>ທຽມ ບົ່ວ</t>
  </si>
  <si>
    <t>ຜັກທຽມ10ລ</t>
  </si>
  <si>
    <t>ຂາຍແກບ22*20ປ</t>
  </si>
  <si>
    <t>ຕັ້ງເສົາໄຟຟ້າໂຊລາເຊວ</t>
  </si>
  <si>
    <t>ເຂ້າຫມາ</t>
  </si>
  <si>
    <t>ແຮງງານ3ຝຶກງານ</t>
  </si>
  <si>
    <t>ນໍ້າດື່ມ13</t>
  </si>
  <si>
    <t>ກຳແພງ45ມ ພໍ່ຈ່າຍ ໃຫ້ງົບ 6000=6000*22050=132300000-1245000=7.800.000ສົ່ງພໍ່ຄືນ  ຫລຶ =124500000/22050=5546.26</t>
  </si>
  <si>
    <t>Family ພ ກໍາແພງ</t>
  </si>
  <si>
    <t>ນ້ອດກຳແພງ5 ພໍ່ຈ່າຍ</t>
  </si>
  <si>
    <t>ຍົກແກບຂາຍ</t>
  </si>
  <si>
    <t>ຕັກແກບ 100 ຂາຍ ຈ່າຍກຳມະກແນທີ19/5ແຕ່ລືມລົງບຊ ທື້ຊື້25/04/26 ມາລົງມື້ນີ້ແທນຫັກເງິນສົດແລ້ວ</t>
  </si>
  <si>
    <t>ຕັກແກບ</t>
  </si>
  <si>
    <t>ຂາຍແກບໃຫ້ຜູ້ຕັກ 20*3ປ</t>
  </si>
  <si>
    <t>ຂາຍແກບ20*20ປ</t>
  </si>
  <si>
    <t>ຂາຍແກບ20*50ປ</t>
  </si>
  <si>
    <t>ອາລູຊິງເກາະຜ້າກັ້ງ</t>
  </si>
  <si>
    <t>Steel</t>
  </si>
  <si>
    <t>Family ມ ກຳແພງເລັກອາລູຊິງ</t>
  </si>
  <si>
    <t>ເລັກຄອກໝາ Family ພ ແມ່ຈ່າຍ</t>
  </si>
  <si>
    <t>ອາລູຊິງ ຮ້ານຫນ້າສວນ ແມ່ຈ່າຍ</t>
  </si>
  <si>
    <t>ແຮງງານ4ວັນ*5ແສນ ແມ່ຈ່າຍ</t>
  </si>
  <si>
    <t>ອາລູຊິງ ແມ່ຈ່າຍ</t>
  </si>
  <si>
    <t>ນ້ອດຍິງອາລູຊິງ 1625ບາດ</t>
  </si>
  <si>
    <t>ແຮງງານ7ວັນ ລູກຊ່ວຍ4ວັນ ອຸປະກອນຊື້ກ່ອນ</t>
  </si>
  <si>
    <t>ແຮງງານກຳແພງຜູ້ຊ່ວຍ</t>
  </si>
  <si>
    <t>ອຸປະກອນກຳແພງ ແມ່ຈ່າຍ</t>
  </si>
  <si>
    <t>ແປງທາ ແມ່ຈ່າຍ</t>
  </si>
  <si>
    <t>ເຫລັກລົບ ແມ່ຈ່າຍ</t>
  </si>
  <si>
    <t>ສີທາ ແມ່ຈ່າຍ</t>
  </si>
  <si>
    <t>ເຫັລກ 24.552.600ກີບ</t>
  </si>
  <si>
    <t>ເຫັລກ 37.636.500ກີບ</t>
  </si>
  <si>
    <t>ສີ ແມ່ຈ່າຍ</t>
  </si>
  <si>
    <t>ແຮງງານຊ່າງລົດ 12 ວັນ</t>
  </si>
  <si>
    <t>ແຮງງານ14ວັນ</t>
  </si>
  <si>
    <t>ແຮງງານກຳແພງຜູ້ຊ່ວຍ22*250000ມື້</t>
  </si>
  <si>
    <t>ແຮງງານ ນໍ້າມັນຂາຍ 1170ປ</t>
  </si>
  <si>
    <t>ຂາຍແກບ25*2ປ</t>
  </si>
  <si>
    <t>ຂາຍແກບ25*4ປ</t>
  </si>
  <si>
    <t>ຂາຍແກບ22*1150ປ ຕ້ອງການອີກ40ປ</t>
  </si>
  <si>
    <t>ຜັກບົ່ວ5ໂລ</t>
  </si>
  <si>
    <t>Note</t>
  </si>
  <si>
    <t>Code</t>
  </si>
  <si>
    <t>Name</t>
  </si>
  <si>
    <t>ຄ່າບໍລິຫານ</t>
  </si>
  <si>
    <t>ຄ່າໃຊ້ຈ່າຍໃນຟາມ ( ນໍ້າ, ໄຟ, ແຮງງານ)</t>
  </si>
  <si>
    <t>ຄ່າໃຊ້ຈ່າຍແມ່ອອກກ່ອນ</t>
  </si>
  <si>
    <t>ຄ່າໃຊ້ຈ່າຍພໍ່ອອກກ່ອນ</t>
  </si>
  <si>
    <t>ໄລ່ເຂົ້າກໍາໄລແຕ່ລະງວດບໍ?</t>
  </si>
  <si>
    <t>yes</t>
  </si>
  <si>
    <t>No</t>
  </si>
  <si>
    <t>Yes</t>
  </si>
  <si>
    <t>ເງິນກ້ອນເອົາມາລຶງທຶນ</t>
  </si>
  <si>
    <t>ລາຍງ່າຍລະຫວ່າງໄລຍະເວລາໃນການເອົາໄກ່ເຂົ້າລະໄລ່ເຂົ້າໃນການບໍລິຫານຂາດທຶນກໍາໄລໄກ່ຊຸດນັ້ນໆ</t>
  </si>
  <si>
    <t>ເງິນກ້ອນເອົາມາລຶງທຶນ ແຕ່ແຍກເມື່ອຕ້ອງການຈະຊໍາລະຄືນ ເມື່ອຊໍາລະແລ້ວໃຫ້ລົບຍອດສະສົມ</t>
  </si>
  <si>
    <t>ລາຍການລາຍຈ່າຍຂອງຟາມ</t>
  </si>
  <si>
    <t>ລາຍການລາຍຮັບຂອງຟາມ</t>
  </si>
  <si>
    <t>ຂາຍໄຂ່</t>
  </si>
  <si>
    <t>Yes/N0</t>
  </si>
  <si>
    <t>ຄ່າກໍ່ສ້າງ ປັບປຸງສວນ</t>
  </si>
  <si>
    <t>ລາຍຈ່າຍອື່ນໆ</t>
  </si>
  <si>
    <t>ລາຍງ່າຍອື່ນໆ ທີ່ອອກໃນນາມຟາມ</t>
  </si>
  <si>
    <t>ລາຍຮັບອື່ນ</t>
  </si>
  <si>
    <t>Yes/No</t>
  </si>
  <si>
    <t>ເປັນລາຍຮັບອື່ນໆ ຕາມລະດຸການຂອງສວນ ເຊັ່ນ: ຂາຍໝາກມ່ວງ, ໝໍ່ໄມ້, …</t>
  </si>
  <si>
    <t>ພໍ່</t>
  </si>
  <si>
    <t>ແມ່</t>
  </si>
  <si>
    <t>Sub categories</t>
  </si>
  <si>
    <t>Noted</t>
  </si>
  <si>
    <t>Date</t>
  </si>
  <si>
    <t>Name Categories</t>
  </si>
  <si>
    <t>categories code</t>
  </si>
  <si>
    <t>30,588.00ໂຕ</t>
  </si>
  <si>
    <t>22,012.00ໂຕ</t>
  </si>
  <si>
    <t>29,545.00ໂຕ</t>
  </si>
  <si>
    <t/>
  </si>
  <si>
    <t>ງວດ3 ຄອກ 123</t>
  </si>
  <si>
    <t>ງວດ 1</t>
  </si>
  <si>
    <t>ງວດ 2</t>
  </si>
  <si>
    <t>ງວດ 3</t>
  </si>
  <si>
    <t>ຂາຍໄກ່ງວດ 1</t>
  </si>
  <si>
    <t>ງວດໄກ່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</si>
</sst>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_-;\-* #,##0.00_-;_-* &quot;-&quot;??_-;_-@"/>
    <numFmt numFmtId="166" formatCode="yyyy\-mm\-dd"/>
  </numFmts>
  <fonts count="12">
    <font>
      <sz val="11"/>
      <color theme="1"/>
      <name val="Calibri"/>
      <family val="2"/>
      <charset val="222"/>
      <scheme val="minor"/>
    </font>
    <font>
      <sz val="12"/>
      <color theme="1"/>
      <name val="Phetsarath OT"/>
    </font>
    <font>
      <sz val="11"/>
      <color theme="1"/>
      <name val="Phetsarath OT"/>
    </font>
    <font>
      <sz val="10"/>
      <color theme="1"/>
      <name val="Phetsarath OT"/>
    </font>
    <font>
      <sz val="12"/>
      <color rgb="FFFF0000"/>
      <name val="Phetsarath OT"/>
    </font>
    <font>
      <sz val="12"/>
      <color rgb="FF000000"/>
      <name val="Phetsarath OT"/>
    </font>
    <font>
      <b/>
      <sz val="12"/>
      <color theme="1"/>
      <name val="Phetsarath OT"/>
    </font>
    <font>
      <sz val="12"/>
      <color rgb="FF0000FF"/>
      <name val="Phetsarath OT"/>
    </font>
    <font>
      <sz val="12"/>
      <color rgb="FFFF00FF"/>
      <name val="Phetsarath OT"/>
    </font>
    <font>
      <b/>
      <sz val="11"/>
      <color theme="1"/>
      <name val="Phetsarath OT"/>
    </font>
    <font>
      <sz val="8"/>
      <name val="Calibri"/>
      <family val="2"/>
      <charset val="222"/>
      <scheme val="minor"/>
    </font>
    <font>
      <sz val="11"/>
      <color rgb="FFFF0000"/>
      <name val="Phetsarath OT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2CC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left" wrapText="1"/>
    </xf>
    <xf numFmtId="4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6" fontId="1" fillId="0" borderId="2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 wrapText="1"/>
    </xf>
    <xf numFmtId="4" fontId="1" fillId="0" borderId="3" xfId="0" applyNumberFormat="1" applyFont="1" applyBorder="1" applyAlignment="1">
      <alignment horizontal="left"/>
    </xf>
    <xf numFmtId="166" fontId="1" fillId="0" borderId="3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4" fontId="3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166" fontId="1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10" borderId="5" xfId="0" applyFont="1" applyFill="1" applyBorder="1" applyAlignment="1">
      <alignment horizontal="left"/>
    </xf>
    <xf numFmtId="0" fontId="1" fillId="0" borderId="5" xfId="0" applyFont="1" applyBorder="1" applyAlignment="1">
      <alignment horizontal="left" wrapText="1"/>
    </xf>
    <xf numFmtId="0" fontId="1" fillId="4" borderId="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4" fontId="1" fillId="4" borderId="5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4" fontId="1" fillId="0" borderId="5" xfId="0" applyNumberFormat="1" applyFont="1" applyBorder="1" applyAlignment="1">
      <alignment horizontal="left"/>
    </xf>
    <xf numFmtId="166" fontId="1" fillId="0" borderId="5" xfId="0" applyNumberFormat="1" applyFont="1" applyBorder="1" applyAlignment="1">
      <alignment horizontal="left"/>
    </xf>
    <xf numFmtId="0" fontId="6" fillId="9" borderId="5" xfId="0" applyFont="1" applyFill="1" applyBorder="1" applyAlignment="1">
      <alignment horizontal="left" wrapText="1"/>
    </xf>
    <xf numFmtId="4" fontId="1" fillId="7" borderId="5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6" fillId="0" borderId="2" xfId="0" applyFont="1" applyBorder="1" applyAlignment="1">
      <alignment horizontal="left" wrapText="1"/>
    </xf>
    <xf numFmtId="4" fontId="1" fillId="2" borderId="1" xfId="0" applyNumberFormat="1" applyFont="1" applyFill="1" applyBorder="1" applyAlignment="1">
      <alignment horizontal="left" wrapText="1"/>
    </xf>
    <xf numFmtId="4" fontId="1" fillId="2" borderId="1" xfId="0" applyNumberFormat="1" applyFont="1" applyFill="1" applyBorder="1" applyAlignment="1">
      <alignment horizontal="left"/>
    </xf>
    <xf numFmtId="4" fontId="1" fillId="5" borderId="1" xfId="0" applyNumberFormat="1" applyFont="1" applyFill="1" applyBorder="1" applyAlignment="1">
      <alignment horizontal="left"/>
    </xf>
    <xf numFmtId="4" fontId="1" fillId="0" borderId="1" xfId="0" applyNumberFormat="1" applyFont="1" applyBorder="1" applyAlignment="1">
      <alignment horizontal="left" wrapText="1"/>
    </xf>
    <xf numFmtId="4" fontId="5" fillId="0" borderId="1" xfId="0" applyNumberFormat="1" applyFont="1" applyBorder="1" applyAlignment="1">
      <alignment horizontal="left"/>
    </xf>
    <xf numFmtId="4" fontId="2" fillId="0" borderId="2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4" fontId="4" fillId="0" borderId="3" xfId="0" applyNumberFormat="1" applyFont="1" applyBorder="1" applyAlignment="1">
      <alignment horizontal="left"/>
    </xf>
    <xf numFmtId="4" fontId="7" fillId="0" borderId="2" xfId="0" applyNumberFormat="1" applyFont="1" applyBorder="1" applyAlignment="1">
      <alignment horizontal="left"/>
    </xf>
    <xf numFmtId="4" fontId="3" fillId="0" borderId="3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165" fontId="1" fillId="7" borderId="1" xfId="0" applyNumberFormat="1" applyFont="1" applyFill="1" applyBorder="1" applyAlignment="1">
      <alignment horizontal="left"/>
    </xf>
    <xf numFmtId="0" fontId="9" fillId="12" borderId="0" xfId="0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2" borderId="6" xfId="0" applyFont="1" applyFill="1" applyBorder="1" applyAlignment="1">
      <alignment horizontal="left" wrapText="1"/>
    </xf>
    <xf numFmtId="14" fontId="0" fillId="0" borderId="0" xfId="0" applyNumberFormat="1"/>
    <xf numFmtId="0" fontId="1" fillId="0" borderId="5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4" fontId="1" fillId="0" borderId="1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1" fillId="14" borderId="0" xfId="0" applyFont="1" applyFill="1" applyAlignment="1">
      <alignment horizontal="left"/>
    </xf>
    <xf numFmtId="165" fontId="1" fillId="2" borderId="1" xfId="0" applyNumberFormat="1" applyFont="1" applyFill="1" applyBorder="1" applyAlignment="1">
      <alignment horizontal="left" wrapText="1"/>
    </xf>
    <xf numFmtId="165" fontId="1" fillId="11" borderId="1" xfId="0" applyNumberFormat="1" applyFont="1" applyFill="1" applyBorder="1" applyAlignment="1">
      <alignment horizontal="left" wrapText="1"/>
    </xf>
    <xf numFmtId="0" fontId="2" fillId="0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 wrapText="1"/>
    </xf>
    <xf numFmtId="165" fontId="1" fillId="2" borderId="1" xfId="0" applyNumberFormat="1" applyFont="1" applyFill="1" applyBorder="1" applyAlignment="1">
      <alignment horizontal="left"/>
    </xf>
    <xf numFmtId="165" fontId="1" fillId="11" borderId="1" xfId="0" applyNumberFormat="1" applyFont="1" applyFill="1" applyBorder="1" applyAlignment="1">
      <alignment horizontal="left"/>
    </xf>
    <xf numFmtId="165" fontId="1" fillId="3" borderId="1" xfId="0" applyNumberFormat="1" applyFont="1" applyFill="1" applyBorder="1" applyAlignment="1">
      <alignment horizontal="left"/>
    </xf>
    <xf numFmtId="166" fontId="1" fillId="2" borderId="5" xfId="0" applyNumberFormat="1" applyFont="1" applyFill="1" applyBorder="1" applyAlignment="1">
      <alignment horizontal="left"/>
    </xf>
    <xf numFmtId="165" fontId="1" fillId="0" borderId="1" xfId="0" applyNumberFormat="1" applyFont="1" applyBorder="1" applyAlignment="1">
      <alignment horizontal="left" wrapText="1"/>
    </xf>
    <xf numFmtId="165" fontId="1" fillId="3" borderId="1" xfId="0" applyNumberFormat="1" applyFont="1" applyFill="1" applyBorder="1" applyAlignment="1">
      <alignment horizontal="left" wrapText="1"/>
    </xf>
    <xf numFmtId="165" fontId="1" fillId="13" borderId="1" xfId="0" applyNumberFormat="1" applyFont="1" applyFill="1" applyBorder="1" applyAlignment="1">
      <alignment horizontal="left" wrapText="1"/>
    </xf>
    <xf numFmtId="165" fontId="1" fillId="13" borderId="1" xfId="0" applyNumberFormat="1" applyFont="1" applyFill="1" applyBorder="1" applyAlignment="1">
      <alignment horizontal="left"/>
    </xf>
    <xf numFmtId="0" fontId="11" fillId="14" borderId="0" xfId="0" applyFont="1" applyFill="1" applyAlignment="1">
      <alignment horizontal="left"/>
    </xf>
    <xf numFmtId="166" fontId="1" fillId="6" borderId="5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166" fontId="1" fillId="0" borderId="5" xfId="0" applyNumberFormat="1" applyFont="1" applyFill="1" applyBorder="1" applyAlignment="1">
      <alignment horizontal="left"/>
    </xf>
    <xf numFmtId="165" fontId="1" fillId="0" borderId="1" xfId="0" applyNumberFormat="1" applyFont="1" applyFill="1" applyBorder="1" applyAlignment="1">
      <alignment horizontal="left"/>
    </xf>
    <xf numFmtId="4" fontId="1" fillId="3" borderId="1" xfId="0" applyNumberFormat="1" applyFont="1" applyFill="1" applyBorder="1" applyAlignment="1">
      <alignment horizontal="left"/>
    </xf>
    <xf numFmtId="165" fontId="4" fillId="0" borderId="1" xfId="0" applyNumberFormat="1" applyFont="1" applyBorder="1" applyAlignment="1">
      <alignment horizontal="left"/>
    </xf>
    <xf numFmtId="0" fontId="3" fillId="3" borderId="0" xfId="0" applyFont="1" applyFill="1" applyAlignment="1">
      <alignment horizontal="left"/>
    </xf>
    <xf numFmtId="4" fontId="1" fillId="3" borderId="2" xfId="0" applyNumberFormat="1" applyFont="1" applyFill="1" applyBorder="1" applyAlignment="1">
      <alignment horizontal="left"/>
    </xf>
    <xf numFmtId="166" fontId="4" fillId="0" borderId="5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65" fontId="7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6" fontId="1" fillId="7" borderId="5" xfId="0" applyNumberFormat="1" applyFont="1" applyFill="1" applyBorder="1" applyAlignment="1">
      <alignment horizontal="left"/>
    </xf>
    <xf numFmtId="0" fontId="1" fillId="7" borderId="5" xfId="0" applyFont="1" applyFill="1" applyBorder="1" applyAlignment="1">
      <alignment horizontal="left"/>
    </xf>
    <xf numFmtId="4" fontId="1" fillId="8" borderId="1" xfId="0" applyNumberFormat="1" applyFont="1" applyFill="1" applyBorder="1" applyAlignment="1">
      <alignment horizontal="left"/>
    </xf>
    <xf numFmtId="165" fontId="1" fillId="8" borderId="1" xfId="0" applyNumberFormat="1" applyFont="1" applyFill="1" applyBorder="1" applyAlignment="1">
      <alignment horizontal="left"/>
    </xf>
    <xf numFmtId="166" fontId="2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8E0620-B08A-474D-89BC-C91C3F404BF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9c29a33-b8a5-445f-92df-9f8bfbe22aa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8E1E-1DE4-42CD-9462-2CB92D60976E}">
  <dimension ref="A1:P1411"/>
  <sheetViews>
    <sheetView tabSelected="1" zoomScale="70" zoomScaleNormal="70" workbookViewId="0">
      <pane ySplit="2" topLeftCell="A3" activePane="bottomLeft" state="frozen"/>
      <selection pane="bottomLeft" activeCell="P3" sqref="P3"/>
    </sheetView>
  </sheetViews>
  <sheetFormatPr defaultColWidth="12.5703125" defaultRowHeight="18.75"/>
  <cols>
    <col min="1" max="1" width="11.7109375" style="2" customWidth="1"/>
    <col min="2" max="2" width="15" style="2" customWidth="1"/>
    <col min="3" max="3" width="13.7109375" style="2" customWidth="1"/>
    <col min="4" max="4" width="22.7109375" style="2" customWidth="1"/>
    <col min="5" max="5" width="20" style="2" customWidth="1"/>
    <col min="6" max="6" width="29.140625" style="2" customWidth="1"/>
    <col min="7" max="7" width="17.85546875" style="2" customWidth="1"/>
    <col min="8" max="8" width="15.85546875" style="2" customWidth="1"/>
    <col min="9" max="9" width="11.140625" style="2" customWidth="1"/>
    <col min="10" max="10" width="17.42578125" style="2" customWidth="1"/>
    <col min="11" max="11" width="24.42578125" style="2" customWidth="1"/>
    <col min="12" max="12" width="15.5703125" style="2" customWidth="1"/>
    <col min="13" max="13" width="13.42578125" style="2" customWidth="1"/>
    <col min="14" max="14" width="17.42578125" style="2" customWidth="1"/>
    <col min="15" max="15" width="11.28515625" style="2" customWidth="1"/>
    <col min="16" max="16" width="46.7109375" style="2" customWidth="1"/>
    <col min="17" max="16384" width="12.5703125" style="69"/>
  </cols>
  <sheetData>
    <row r="1" spans="1:16" ht="15.75" hidden="1" customHeight="1">
      <c r="B1" s="60" t="s">
        <v>0</v>
      </c>
      <c r="C1" s="35" t="s">
        <v>3</v>
      </c>
      <c r="D1" s="35"/>
      <c r="E1" s="35" t="s">
        <v>2</v>
      </c>
      <c r="F1" s="5" t="s">
        <v>1</v>
      </c>
      <c r="G1" s="44" t="s">
        <v>4</v>
      </c>
      <c r="H1" s="44" t="s">
        <v>4</v>
      </c>
      <c r="I1" s="44" t="s">
        <v>4</v>
      </c>
      <c r="J1" s="67" t="s">
        <v>4</v>
      </c>
      <c r="K1" s="68" t="s">
        <v>5</v>
      </c>
      <c r="L1" s="68" t="s">
        <v>5</v>
      </c>
      <c r="M1" s="68" t="s">
        <v>5</v>
      </c>
      <c r="N1" s="68" t="s">
        <v>5</v>
      </c>
      <c r="O1" s="60"/>
      <c r="P1" s="60"/>
    </row>
    <row r="2" spans="1:16" ht="18.75" customHeight="1">
      <c r="A2" s="58" t="s">
        <v>860</v>
      </c>
      <c r="B2" s="70" t="s">
        <v>848</v>
      </c>
      <c r="C2" s="29" t="s">
        <v>850</v>
      </c>
      <c r="D2" s="58" t="s">
        <v>849</v>
      </c>
      <c r="E2" s="29" t="s">
        <v>846</v>
      </c>
      <c r="F2" s="31" t="s">
        <v>847</v>
      </c>
      <c r="G2" s="45" t="s">
        <v>6</v>
      </c>
      <c r="H2" s="45" t="s">
        <v>7</v>
      </c>
      <c r="I2" s="45" t="s">
        <v>8</v>
      </c>
      <c r="J2" s="71" t="s">
        <v>9</v>
      </c>
      <c r="K2" s="72" t="s">
        <v>6</v>
      </c>
      <c r="L2" s="72" t="s">
        <v>7</v>
      </c>
      <c r="M2" s="72" t="s">
        <v>8</v>
      </c>
      <c r="N2" s="72" t="s">
        <v>9</v>
      </c>
      <c r="O2" s="58" t="s">
        <v>827</v>
      </c>
      <c r="P2" s="58" t="s">
        <v>820</v>
      </c>
    </row>
    <row r="3" spans="1:16" ht="19.5" customHeight="1">
      <c r="A3" s="2" t="s">
        <v>854</v>
      </c>
      <c r="B3" s="38">
        <v>45316</v>
      </c>
      <c r="C3" s="1">
        <v>3</v>
      </c>
      <c r="D3" s="1" t="s">
        <v>823</v>
      </c>
      <c r="E3" s="1" t="s">
        <v>12</v>
      </c>
      <c r="F3" s="8" t="s">
        <v>11</v>
      </c>
      <c r="G3" s="6">
        <v>397000</v>
      </c>
      <c r="H3" s="6"/>
      <c r="I3" s="6"/>
      <c r="J3" s="7"/>
      <c r="K3" s="73"/>
      <c r="L3" s="73"/>
      <c r="M3" s="73"/>
      <c r="N3" s="73"/>
      <c r="O3" s="3" t="str">
        <f>IF(C3="","",IF(C3=5,IFERROR(INDEX(code_Note1!$F$13:$F$16,MATCH(E3,code_Note1!$E$13:$E$16,0)),INDEX(code_Note1!$F$16,1)),IF(B3&lt;code_Note1!$D$21,"No",IFERROR(VLOOKUP(C3,code_Note1!$D$3:$G$8,3,FALSE),""))))</f>
        <v>No</v>
      </c>
      <c r="P3" s="3" t="s">
        <v>832</v>
      </c>
    </row>
    <row r="4" spans="1:16" ht="19.5" customHeight="1">
      <c r="A4" s="2" t="s">
        <v>854</v>
      </c>
      <c r="B4" s="38">
        <v>45316</v>
      </c>
      <c r="C4" s="1">
        <v>2</v>
      </c>
      <c r="D4" s="1" t="s">
        <v>838</v>
      </c>
      <c r="E4" s="1" t="s">
        <v>14</v>
      </c>
      <c r="F4" s="8" t="s">
        <v>13</v>
      </c>
      <c r="G4" s="6">
        <v>8280000</v>
      </c>
      <c r="H4" s="6"/>
      <c r="I4" s="6"/>
      <c r="J4" s="7"/>
      <c r="K4" s="73"/>
      <c r="L4" s="73"/>
      <c r="M4" s="73"/>
      <c r="N4" s="73"/>
      <c r="O4" s="3" t="str">
        <f>IF(C4="","",IF(C4=5,IFERROR(INDEX(code_Note1!$F$13:$F$16,MATCH(E4,code_Note1!$E$13:$E$16,0)),INDEX(code_Note1!$F$16,1)),IF(B4&lt;code_Note1!$D$21,"No",IFERROR(VLOOKUP(C4,code_Note1!$D$3:$G$8,3,FALSE),""))))</f>
        <v>No</v>
      </c>
      <c r="P4" s="3" t="s">
        <v>831</v>
      </c>
    </row>
    <row r="5" spans="1:16" ht="19.5" customHeight="1">
      <c r="A5" s="2" t="s">
        <v>854</v>
      </c>
      <c r="B5" s="38">
        <v>45316</v>
      </c>
      <c r="C5" s="1">
        <v>3</v>
      </c>
      <c r="D5" s="1" t="s">
        <v>823</v>
      </c>
      <c r="E5" s="1" t="s">
        <v>12</v>
      </c>
      <c r="F5" s="8" t="s">
        <v>15</v>
      </c>
      <c r="G5" s="6">
        <v>500000</v>
      </c>
      <c r="H5" s="6"/>
      <c r="I5" s="6"/>
      <c r="J5" s="7"/>
      <c r="K5" s="73"/>
      <c r="L5" s="73"/>
      <c r="M5" s="73"/>
      <c r="N5" s="73"/>
      <c r="O5" s="3" t="str">
        <f>IF(C5="","",IF(C5=5,IFERROR(INDEX(code_Note1!$F$13:$F$16,MATCH(E5,code_Note1!$E$13:$E$16,0)),INDEX(code_Note1!$F$16,1)),IF(B5&lt;code_Note1!$D$21,"No",IFERROR(VLOOKUP(C5,code_Note1!$D$3:$G$8,3,FALSE),""))))</f>
        <v>No</v>
      </c>
      <c r="P5" s="3" t="s">
        <v>832</v>
      </c>
    </row>
    <row r="6" spans="1:16" ht="19.5" customHeight="1">
      <c r="A6" s="2" t="s">
        <v>854</v>
      </c>
      <c r="B6" s="38">
        <v>45316</v>
      </c>
      <c r="C6" s="1">
        <v>3</v>
      </c>
      <c r="D6" s="1" t="s">
        <v>823</v>
      </c>
      <c r="E6" s="1" t="s">
        <v>12</v>
      </c>
      <c r="F6" s="8" t="s">
        <v>16</v>
      </c>
      <c r="G6" s="6">
        <v>103000</v>
      </c>
      <c r="H6" s="6"/>
      <c r="I6" s="6"/>
      <c r="J6" s="7"/>
      <c r="K6" s="73"/>
      <c r="L6" s="73"/>
      <c r="M6" s="73"/>
      <c r="N6" s="73"/>
      <c r="O6" s="3" t="str">
        <f>IF(C6="","",IF(C6=5,IFERROR(INDEX(code_Note1!$F$13:$F$16,MATCH(E6,code_Note1!$E$13:$E$16,0)),INDEX(code_Note1!$F$16,1)),IF(B6&lt;code_Note1!$D$21,"No",IFERROR(VLOOKUP(C6,code_Note1!$D$3:$G$8,3,FALSE),""))))</f>
        <v>No</v>
      </c>
      <c r="P6" s="3" t="s">
        <v>832</v>
      </c>
    </row>
    <row r="7" spans="1:16" ht="19.5" customHeight="1">
      <c r="A7" s="2" t="s">
        <v>854</v>
      </c>
      <c r="B7" s="38">
        <v>45316</v>
      </c>
      <c r="C7" s="1">
        <v>3</v>
      </c>
      <c r="D7" s="1" t="s">
        <v>823</v>
      </c>
      <c r="E7" s="1" t="s">
        <v>12</v>
      </c>
      <c r="F7" s="8" t="s">
        <v>17</v>
      </c>
      <c r="G7" s="6">
        <v>100000</v>
      </c>
      <c r="H7" s="6"/>
      <c r="I7" s="6"/>
      <c r="J7" s="7"/>
      <c r="K7" s="73"/>
      <c r="L7" s="73"/>
      <c r="M7" s="73"/>
      <c r="N7" s="73"/>
      <c r="O7" s="3" t="str">
        <f>IF(C7="","",IF(C7=5,IFERROR(INDEX(code_Note1!$F$13:$F$16,MATCH(E7,code_Note1!$E$13:$E$16,0)),INDEX(code_Note1!$F$16,1)),IF(B7&lt;code_Note1!$D$21,"No",IFERROR(VLOOKUP(C7,code_Note1!$D$3:$G$8,3,FALSE),""))))</f>
        <v>No</v>
      </c>
      <c r="P7" s="3" t="s">
        <v>832</v>
      </c>
    </row>
    <row r="8" spans="1:16" ht="19.5" customHeight="1">
      <c r="A8" s="2" t="s">
        <v>854</v>
      </c>
      <c r="B8" s="38">
        <v>45316</v>
      </c>
      <c r="C8" s="1">
        <v>2</v>
      </c>
      <c r="D8" s="1" t="s">
        <v>838</v>
      </c>
      <c r="E8" s="1" t="s">
        <v>19</v>
      </c>
      <c r="F8" s="8" t="s">
        <v>18</v>
      </c>
      <c r="G8" s="6">
        <v>1800000</v>
      </c>
      <c r="H8" s="6"/>
      <c r="I8" s="6"/>
      <c r="J8" s="7"/>
      <c r="K8" s="73"/>
      <c r="L8" s="73"/>
      <c r="M8" s="73"/>
      <c r="N8" s="73"/>
      <c r="O8" s="3" t="str">
        <f>IF(C8="","",IF(C8=5,IFERROR(INDEX(code_Note1!$F$13:$F$16,MATCH(E8,code_Note1!$E$13:$E$16,0)),INDEX(code_Note1!$F$16,1)),IF(B8&lt;code_Note1!$D$21,"No",IFERROR(VLOOKUP(C8,code_Note1!$D$3:$G$8,3,FALSE),""))))</f>
        <v>No</v>
      </c>
      <c r="P8" s="3" t="s">
        <v>831</v>
      </c>
    </row>
    <row r="9" spans="1:16" ht="19.5" customHeight="1">
      <c r="A9" s="2" t="s">
        <v>854</v>
      </c>
      <c r="B9" s="38">
        <v>45316</v>
      </c>
      <c r="C9" s="1">
        <v>2</v>
      </c>
      <c r="D9" s="1" t="s">
        <v>838</v>
      </c>
      <c r="E9" s="1" t="s">
        <v>21</v>
      </c>
      <c r="F9" s="8" t="s">
        <v>20</v>
      </c>
      <c r="G9" s="6">
        <v>300000</v>
      </c>
      <c r="H9" s="6"/>
      <c r="I9" s="6"/>
      <c r="J9" s="7"/>
      <c r="K9" s="73"/>
      <c r="L9" s="73"/>
      <c r="M9" s="73"/>
      <c r="N9" s="73"/>
      <c r="O9" s="3" t="str">
        <f>IF(C9="","",IF(C9=5,IFERROR(INDEX(code_Note1!$F$13:$F$16,MATCH(E9,code_Note1!$E$13:$E$16,0)),INDEX(code_Note1!$F$16,1)),IF(B9&lt;code_Note1!$D$21,"No",IFERROR(VLOOKUP(C9,code_Note1!$D$3:$G$8,3,FALSE),""))))</f>
        <v>No</v>
      </c>
      <c r="P9" s="3" t="s">
        <v>831</v>
      </c>
    </row>
    <row r="10" spans="1:16" ht="19.5" customHeight="1">
      <c r="A10" s="2" t="s">
        <v>854</v>
      </c>
      <c r="B10" s="38">
        <v>45316</v>
      </c>
      <c r="C10" s="1">
        <v>2</v>
      </c>
      <c r="D10" s="1" t="s">
        <v>838</v>
      </c>
      <c r="E10" s="1" t="s">
        <v>21</v>
      </c>
      <c r="F10" s="8" t="s">
        <v>22</v>
      </c>
      <c r="G10" s="6">
        <v>200000</v>
      </c>
      <c r="H10" s="6"/>
      <c r="I10" s="6"/>
      <c r="J10" s="7"/>
      <c r="K10" s="73"/>
      <c r="L10" s="73"/>
      <c r="M10" s="73"/>
      <c r="N10" s="73"/>
      <c r="O10" s="3" t="str">
        <f>IF(C10="","",IF(C10=5,IFERROR(INDEX(code_Note1!$F$13:$F$16,MATCH(E10,code_Note1!$E$13:$E$16,0)),INDEX(code_Note1!$F$16,1)),IF(B10&lt;code_Note1!$D$21,"No",IFERROR(VLOOKUP(C10,code_Note1!$D$3:$G$8,3,FALSE),""))))</f>
        <v>No</v>
      </c>
      <c r="P10" s="3" t="s">
        <v>831</v>
      </c>
    </row>
    <row r="11" spans="1:16" ht="19.5" customHeight="1">
      <c r="A11" s="2" t="s">
        <v>854</v>
      </c>
      <c r="B11" s="38">
        <v>45316</v>
      </c>
      <c r="C11" s="1">
        <v>2</v>
      </c>
      <c r="D11" s="1" t="s">
        <v>838</v>
      </c>
      <c r="E11" s="1" t="s">
        <v>24</v>
      </c>
      <c r="F11" s="8" t="s">
        <v>23</v>
      </c>
      <c r="G11" s="6">
        <v>2250000</v>
      </c>
      <c r="H11" s="6"/>
      <c r="I11" s="6"/>
      <c r="J11" s="7"/>
      <c r="K11" s="73"/>
      <c r="L11" s="73"/>
      <c r="M11" s="73"/>
      <c r="N11" s="73"/>
      <c r="O11" s="3" t="str">
        <f>IF(C11="","",IF(C11=5,IFERROR(INDEX(code_Note1!$F$13:$F$16,MATCH(E11,code_Note1!$E$13:$E$16,0)),INDEX(code_Note1!$F$16,1)),IF(B11&lt;code_Note1!$D$21,"No",IFERROR(VLOOKUP(C11,code_Note1!$D$3:$G$8,3,FALSE),""))))</f>
        <v>No</v>
      </c>
      <c r="P11" s="3" t="s">
        <v>831</v>
      </c>
    </row>
    <row r="12" spans="1:16" ht="19.5" customHeight="1">
      <c r="A12" s="2" t="s">
        <v>854</v>
      </c>
      <c r="B12" s="38">
        <v>45316</v>
      </c>
      <c r="C12" s="1">
        <v>2</v>
      </c>
      <c r="D12" s="1" t="s">
        <v>838</v>
      </c>
      <c r="E12" s="1" t="s">
        <v>25</v>
      </c>
      <c r="F12" s="8" t="s">
        <v>25</v>
      </c>
      <c r="G12" s="6">
        <v>5300000</v>
      </c>
      <c r="H12" s="6"/>
      <c r="I12" s="6"/>
      <c r="J12" s="7"/>
      <c r="K12" s="73"/>
      <c r="L12" s="73"/>
      <c r="M12" s="73"/>
      <c r="N12" s="73"/>
      <c r="O12" s="3" t="str">
        <f>IF(C12="","",IF(C12=5,IFERROR(INDEX(code_Note1!$F$13:$F$16,MATCH(E12,code_Note1!$E$13:$E$16,0)),INDEX(code_Note1!$F$16,1)),IF(B12&lt;code_Note1!$D$21,"No",IFERROR(VLOOKUP(C12,code_Note1!$D$3:$G$8,3,FALSE),""))))</f>
        <v>No</v>
      </c>
      <c r="P12" s="3" t="s">
        <v>831</v>
      </c>
    </row>
    <row r="13" spans="1:16" ht="19.5" customHeight="1">
      <c r="A13" s="2" t="s">
        <v>854</v>
      </c>
      <c r="B13" s="38">
        <v>45316</v>
      </c>
      <c r="C13" s="1">
        <v>2</v>
      </c>
      <c r="D13" s="1" t="s">
        <v>838</v>
      </c>
      <c r="E13" s="1" t="s">
        <v>21</v>
      </c>
      <c r="F13" s="8" t="s">
        <v>26</v>
      </c>
      <c r="G13" s="6">
        <v>7100000</v>
      </c>
      <c r="H13" s="6"/>
      <c r="I13" s="6"/>
      <c r="J13" s="7"/>
      <c r="K13" s="73"/>
      <c r="L13" s="73"/>
      <c r="M13" s="73"/>
      <c r="N13" s="73"/>
      <c r="O13" s="3" t="str">
        <f>IF(C13="","",IF(C13=5,IFERROR(INDEX(code_Note1!$F$13:$F$16,MATCH(E13,code_Note1!$E$13:$E$16,0)),INDEX(code_Note1!$F$16,1)),IF(B13&lt;code_Note1!$D$21,"No",IFERROR(VLOOKUP(C13,code_Note1!$D$3:$G$8,3,FALSE),""))))</f>
        <v>No</v>
      </c>
      <c r="P13" s="3" t="s">
        <v>831</v>
      </c>
    </row>
    <row r="14" spans="1:16" ht="19.5" customHeight="1">
      <c r="A14" s="2" t="s">
        <v>854</v>
      </c>
      <c r="B14" s="38">
        <v>45316</v>
      </c>
      <c r="C14" s="1">
        <v>2</v>
      </c>
      <c r="D14" s="1" t="s">
        <v>838</v>
      </c>
      <c r="E14" s="1" t="s">
        <v>21</v>
      </c>
      <c r="F14" s="8" t="s">
        <v>27</v>
      </c>
      <c r="G14" s="6">
        <v>90000</v>
      </c>
      <c r="H14" s="6"/>
      <c r="I14" s="6"/>
      <c r="J14" s="7"/>
      <c r="K14" s="73"/>
      <c r="L14" s="73"/>
      <c r="M14" s="73"/>
      <c r="N14" s="73"/>
      <c r="O14" s="3" t="str">
        <f>IF(C14="","",IF(C14=5,IFERROR(INDEX(code_Note1!$F$13:$F$16,MATCH(E14,code_Note1!$E$13:$E$16,0)),INDEX(code_Note1!$F$16,1)),IF(B14&lt;code_Note1!$D$21,"No",IFERROR(VLOOKUP(C14,code_Note1!$D$3:$G$8,3,FALSE),""))))</f>
        <v>No</v>
      </c>
      <c r="P14" s="3" t="s">
        <v>831</v>
      </c>
    </row>
    <row r="15" spans="1:16" ht="19.5" customHeight="1">
      <c r="A15" s="2" t="s">
        <v>854</v>
      </c>
      <c r="B15" s="38">
        <v>45317</v>
      </c>
      <c r="C15" s="1">
        <v>3</v>
      </c>
      <c r="D15" s="1" t="s">
        <v>823</v>
      </c>
      <c r="E15" s="1" t="s">
        <v>12</v>
      </c>
      <c r="F15" s="8" t="s">
        <v>28</v>
      </c>
      <c r="G15" s="6">
        <v>80000</v>
      </c>
      <c r="H15" s="6"/>
      <c r="I15" s="6"/>
      <c r="J15" s="7"/>
      <c r="K15" s="73"/>
      <c r="L15" s="73"/>
      <c r="M15" s="73"/>
      <c r="N15" s="73"/>
      <c r="O15" s="3" t="str">
        <f>IF(C15="","",IF(C15=5,IFERROR(INDEX(code_Note1!$F$13:$F$16,MATCH(E15,code_Note1!$E$13:$E$16,0)),INDEX(code_Note1!$F$16,1)),IF(B15&lt;code_Note1!$D$21,"No",IFERROR(VLOOKUP(C15,code_Note1!$D$3:$G$8,3,FALSE),""))))</f>
        <v>No</v>
      </c>
      <c r="P15" s="3" t="s">
        <v>832</v>
      </c>
    </row>
    <row r="16" spans="1:16" ht="19.5" customHeight="1">
      <c r="A16" s="2" t="s">
        <v>854</v>
      </c>
      <c r="B16" s="38">
        <v>45317</v>
      </c>
      <c r="C16" s="1">
        <v>2</v>
      </c>
      <c r="D16" s="1" t="s">
        <v>838</v>
      </c>
      <c r="E16" s="1" t="s">
        <v>30</v>
      </c>
      <c r="F16" s="8" t="s">
        <v>29</v>
      </c>
      <c r="G16" s="6">
        <v>0</v>
      </c>
      <c r="H16" s="6">
        <v>0</v>
      </c>
      <c r="I16" s="6">
        <v>784</v>
      </c>
      <c r="J16" s="7"/>
      <c r="K16" s="73"/>
      <c r="L16" s="73"/>
      <c r="M16" s="73"/>
      <c r="N16" s="73"/>
      <c r="O16" s="3" t="str">
        <f>IF(C16="","",IF(C16=5,IFERROR(INDEX(code_Note1!$F$13:$F$16,MATCH(E16,code_Note1!$E$13:$E$16,0)),INDEX(code_Note1!$F$16,1)),IF(B16&lt;code_Note1!$D$21,"No",IFERROR(VLOOKUP(C16,code_Note1!$D$3:$G$8,3,FALSE),""))))</f>
        <v>No</v>
      </c>
      <c r="P16" s="3" t="s">
        <v>831</v>
      </c>
    </row>
    <row r="17" spans="1:16" ht="19.5" customHeight="1">
      <c r="A17" s="2" t="s">
        <v>854</v>
      </c>
      <c r="B17" s="38">
        <v>45318</v>
      </c>
      <c r="C17" s="1">
        <v>2</v>
      </c>
      <c r="D17" s="1" t="s">
        <v>838</v>
      </c>
      <c r="E17" s="1" t="s">
        <v>21</v>
      </c>
      <c r="F17" s="8" t="s">
        <v>31</v>
      </c>
      <c r="G17" s="6">
        <v>200000</v>
      </c>
      <c r="H17" s="6"/>
      <c r="I17" s="6"/>
      <c r="J17" s="7"/>
      <c r="K17" s="73"/>
      <c r="L17" s="73"/>
      <c r="M17" s="73"/>
      <c r="N17" s="73"/>
      <c r="O17" s="3" t="str">
        <f>IF(C17="","",IF(C17=5,IFERROR(INDEX(code_Note1!$F$13:$F$16,MATCH(E17,code_Note1!$E$13:$E$16,0)),INDEX(code_Note1!$F$16,1)),IF(B17&lt;code_Note1!$D$21,"No",IFERROR(VLOOKUP(C17,code_Note1!$D$3:$G$8,3,FALSE),""))))</f>
        <v>No</v>
      </c>
      <c r="P17" s="3" t="s">
        <v>831</v>
      </c>
    </row>
    <row r="18" spans="1:16" ht="19.5" customHeight="1">
      <c r="A18" s="2" t="s">
        <v>854</v>
      </c>
      <c r="B18" s="38">
        <v>45319</v>
      </c>
      <c r="C18" s="1">
        <v>2</v>
      </c>
      <c r="D18" s="1" t="s">
        <v>838</v>
      </c>
      <c r="E18" s="1" t="s">
        <v>21</v>
      </c>
      <c r="F18" s="8" t="s">
        <v>32</v>
      </c>
      <c r="G18" s="6">
        <v>225000</v>
      </c>
      <c r="H18" s="6"/>
      <c r="I18" s="6"/>
      <c r="J18" s="7"/>
      <c r="K18" s="73"/>
      <c r="L18" s="73"/>
      <c r="M18" s="73"/>
      <c r="N18" s="73"/>
      <c r="O18" s="3" t="str">
        <f>IF(C18="","",IF(C18=5,IFERROR(INDEX(code_Note1!$F$13:$F$16,MATCH(E18,code_Note1!$E$13:$E$16,0)),INDEX(code_Note1!$F$16,1)),IF(B18&lt;code_Note1!$D$21,"No",IFERROR(VLOOKUP(C18,code_Note1!$D$3:$G$8,3,FALSE),""))))</f>
        <v>No</v>
      </c>
      <c r="P18" s="3" t="s">
        <v>831</v>
      </c>
    </row>
    <row r="19" spans="1:16" ht="19.5" customHeight="1">
      <c r="A19" s="2" t="s">
        <v>854</v>
      </c>
      <c r="B19" s="38">
        <v>45320</v>
      </c>
      <c r="C19" s="1">
        <v>2</v>
      </c>
      <c r="D19" s="1" t="s">
        <v>838</v>
      </c>
      <c r="E19" s="1" t="s">
        <v>24</v>
      </c>
      <c r="F19" s="8" t="s">
        <v>33</v>
      </c>
      <c r="G19" s="6">
        <v>380000</v>
      </c>
      <c r="H19" s="6"/>
      <c r="I19" s="6"/>
      <c r="J19" s="7"/>
      <c r="K19" s="73"/>
      <c r="L19" s="73"/>
      <c r="M19" s="73"/>
      <c r="N19" s="73"/>
      <c r="O19" s="3" t="str">
        <f>IF(C19="","",IF(C19=5,IFERROR(INDEX(code_Note1!$F$13:$F$16,MATCH(E19,code_Note1!$E$13:$E$16,0)),INDEX(code_Note1!$F$16,1)),IF(B19&lt;code_Note1!$D$21,"No",IFERROR(VLOOKUP(C19,code_Note1!$D$3:$G$8,3,FALSE),""))))</f>
        <v>No</v>
      </c>
      <c r="P19" s="3" t="s">
        <v>831</v>
      </c>
    </row>
    <row r="20" spans="1:16" ht="19.5" customHeight="1">
      <c r="A20" s="2" t="s">
        <v>854</v>
      </c>
      <c r="B20" s="38">
        <v>45323</v>
      </c>
      <c r="C20" s="1">
        <v>2</v>
      </c>
      <c r="D20" s="1" t="s">
        <v>838</v>
      </c>
      <c r="E20" s="1" t="s">
        <v>34</v>
      </c>
      <c r="F20" s="8" t="s">
        <v>34</v>
      </c>
      <c r="G20" s="6">
        <v>19360000</v>
      </c>
      <c r="H20" s="6"/>
      <c r="I20" s="6"/>
      <c r="J20" s="7"/>
      <c r="K20" s="73"/>
      <c r="L20" s="73"/>
      <c r="M20" s="73"/>
      <c r="N20" s="73"/>
      <c r="O20" s="3" t="str">
        <f>IF(C20="","",IF(C20=5,IFERROR(INDEX(code_Note1!$F$13:$F$16,MATCH(E20,code_Note1!$E$13:$E$16,0)),INDEX(code_Note1!$F$16,1)),IF(B20&lt;code_Note1!$D$21,"No",IFERROR(VLOOKUP(C20,code_Note1!$D$3:$G$8,3,FALSE),""))))</f>
        <v>No</v>
      </c>
      <c r="P20" s="3" t="s">
        <v>831</v>
      </c>
    </row>
    <row r="21" spans="1:16" ht="19.5" customHeight="1">
      <c r="A21" s="2" t="s">
        <v>854</v>
      </c>
      <c r="B21" s="38">
        <v>45323</v>
      </c>
      <c r="C21" s="1">
        <v>3</v>
      </c>
      <c r="D21" s="1" t="s">
        <v>823</v>
      </c>
      <c r="E21" s="1" t="s">
        <v>12</v>
      </c>
      <c r="F21" s="8" t="s">
        <v>35</v>
      </c>
      <c r="G21" s="6">
        <v>72000</v>
      </c>
      <c r="H21" s="6"/>
      <c r="I21" s="6"/>
      <c r="J21" s="7"/>
      <c r="K21" s="73"/>
      <c r="L21" s="73"/>
      <c r="M21" s="73"/>
      <c r="N21" s="73"/>
      <c r="O21" s="3" t="str">
        <f>IF(C21="","",IF(C21=5,IFERROR(INDEX(code_Note1!$F$13:$F$16,MATCH(E21,code_Note1!$E$13:$E$16,0)),INDEX(code_Note1!$F$16,1)),IF(B21&lt;code_Note1!$D$21,"No",IFERROR(VLOOKUP(C21,code_Note1!$D$3:$G$8,3,FALSE),""))))</f>
        <v>No</v>
      </c>
      <c r="P21" s="3" t="s">
        <v>832</v>
      </c>
    </row>
    <row r="22" spans="1:16" ht="19.5" customHeight="1">
      <c r="A22" s="2" t="s">
        <v>854</v>
      </c>
      <c r="B22" s="38">
        <v>45323</v>
      </c>
      <c r="C22" s="1">
        <v>3</v>
      </c>
      <c r="D22" s="1" t="s">
        <v>823</v>
      </c>
      <c r="E22" s="1" t="s">
        <v>12</v>
      </c>
      <c r="F22" s="8" t="s">
        <v>36</v>
      </c>
      <c r="G22" s="6">
        <v>25000</v>
      </c>
      <c r="H22" s="6"/>
      <c r="I22" s="6"/>
      <c r="J22" s="7"/>
      <c r="K22" s="73"/>
      <c r="L22" s="73"/>
      <c r="M22" s="73"/>
      <c r="N22" s="73"/>
      <c r="O22" s="3" t="str">
        <f>IF(C22="","",IF(C22=5,IFERROR(INDEX(code_Note1!$F$13:$F$16,MATCH(E22,code_Note1!$E$13:$E$16,0)),INDEX(code_Note1!$F$16,1)),IF(B22&lt;code_Note1!$D$21,"No",IFERROR(VLOOKUP(C22,code_Note1!$D$3:$G$8,3,FALSE),""))))</f>
        <v>No</v>
      </c>
      <c r="P22" s="3" t="s">
        <v>832</v>
      </c>
    </row>
    <row r="23" spans="1:16" ht="19.5" customHeight="1">
      <c r="A23" s="2" t="s">
        <v>854</v>
      </c>
      <c r="B23" s="38">
        <v>45323</v>
      </c>
      <c r="C23" s="1">
        <v>3</v>
      </c>
      <c r="D23" s="1" t="s">
        <v>823</v>
      </c>
      <c r="E23" s="1" t="s">
        <v>38</v>
      </c>
      <c r="F23" s="8" t="s">
        <v>37</v>
      </c>
      <c r="G23" s="6">
        <v>140000</v>
      </c>
      <c r="H23" s="6"/>
      <c r="I23" s="6"/>
      <c r="J23" s="7"/>
      <c r="K23" s="73"/>
      <c r="L23" s="73"/>
      <c r="M23" s="73"/>
      <c r="N23" s="73"/>
      <c r="O23" s="3" t="str">
        <f>IF(C23="","",IF(C23=5,IFERROR(INDEX(code_Note1!$F$13:$F$16,MATCH(E23,code_Note1!$E$13:$E$16,0)),INDEX(code_Note1!$F$16,1)),IF(B23&lt;code_Note1!$D$21,"No",IFERROR(VLOOKUP(C23,code_Note1!$D$3:$G$8,3,FALSE),""))))</f>
        <v>No</v>
      </c>
      <c r="P23" s="3" t="s">
        <v>832</v>
      </c>
    </row>
    <row r="24" spans="1:16" ht="19.5" customHeight="1">
      <c r="A24" s="2" t="s">
        <v>854</v>
      </c>
      <c r="B24" s="38">
        <v>45324</v>
      </c>
      <c r="C24" s="1">
        <v>2</v>
      </c>
      <c r="D24" s="1" t="s">
        <v>838</v>
      </c>
      <c r="E24" s="1" t="s">
        <v>21</v>
      </c>
      <c r="F24" s="8" t="s">
        <v>39</v>
      </c>
      <c r="G24" s="6">
        <v>530000</v>
      </c>
      <c r="H24" s="6"/>
      <c r="I24" s="6"/>
      <c r="J24" s="7"/>
      <c r="K24" s="73"/>
      <c r="L24" s="73"/>
      <c r="M24" s="73"/>
      <c r="N24" s="73"/>
      <c r="O24" s="3" t="str">
        <f>IF(C24="","",IF(C24=5,IFERROR(INDEX(code_Note1!$F$13:$F$16,MATCH(E24,code_Note1!$E$13:$E$16,0)),INDEX(code_Note1!$F$16,1)),IF(B24&lt;code_Note1!$D$21,"No",IFERROR(VLOOKUP(C24,code_Note1!$D$3:$G$8,3,FALSE),""))))</f>
        <v>No</v>
      </c>
      <c r="P24" s="3" t="s">
        <v>831</v>
      </c>
    </row>
    <row r="25" spans="1:16" ht="19.5" customHeight="1">
      <c r="A25" s="2" t="s">
        <v>854</v>
      </c>
      <c r="B25" s="38">
        <v>45324</v>
      </c>
      <c r="C25" s="1">
        <v>2</v>
      </c>
      <c r="D25" s="1" t="s">
        <v>838</v>
      </c>
      <c r="E25" s="1" t="s">
        <v>21</v>
      </c>
      <c r="F25" s="8" t="s">
        <v>40</v>
      </c>
      <c r="G25" s="6">
        <v>140000</v>
      </c>
      <c r="H25" s="6"/>
      <c r="I25" s="6"/>
      <c r="J25" s="7"/>
      <c r="K25" s="73"/>
      <c r="L25" s="73"/>
      <c r="M25" s="73"/>
      <c r="N25" s="73"/>
      <c r="O25" s="3" t="str">
        <f>IF(C25="","",IF(C25=5,IFERROR(INDEX(code_Note1!$F$13:$F$16,MATCH(E25,code_Note1!$E$13:$E$16,0)),INDEX(code_Note1!$F$16,1)),IF(B25&lt;code_Note1!$D$21,"No",IFERROR(VLOOKUP(C25,code_Note1!$D$3:$G$8,3,FALSE),""))))</f>
        <v>No</v>
      </c>
      <c r="P25" s="3" t="s">
        <v>831</v>
      </c>
    </row>
    <row r="26" spans="1:16" ht="19.5" customHeight="1">
      <c r="A26" s="2" t="s">
        <v>854</v>
      </c>
      <c r="B26" s="38">
        <v>45324</v>
      </c>
      <c r="C26" s="1">
        <v>2</v>
      </c>
      <c r="D26" s="1" t="s">
        <v>838</v>
      </c>
      <c r="E26" s="1" t="s">
        <v>42</v>
      </c>
      <c r="F26" s="8" t="s">
        <v>41</v>
      </c>
      <c r="G26" s="6">
        <v>5000000</v>
      </c>
      <c r="H26" s="6"/>
      <c r="I26" s="6"/>
      <c r="J26" s="7"/>
      <c r="K26" s="73"/>
      <c r="L26" s="73"/>
      <c r="M26" s="73"/>
      <c r="N26" s="73"/>
      <c r="O26" s="3" t="str">
        <f>IF(C26="","",IF(C26=5,IFERROR(INDEX(code_Note1!$F$13:$F$16,MATCH(E26,code_Note1!$E$13:$E$16,0)),INDEX(code_Note1!$F$16,1)),IF(B26&lt;code_Note1!$D$21,"No",IFERROR(VLOOKUP(C26,code_Note1!$D$3:$G$8,3,FALSE),""))))</f>
        <v>No</v>
      </c>
      <c r="P26" s="3" t="s">
        <v>831</v>
      </c>
    </row>
    <row r="27" spans="1:16" ht="19.5" customHeight="1">
      <c r="A27" s="2" t="s">
        <v>854</v>
      </c>
      <c r="B27" s="38">
        <v>45324</v>
      </c>
      <c r="C27" s="1">
        <v>3</v>
      </c>
      <c r="D27" s="1" t="s">
        <v>823</v>
      </c>
      <c r="E27" s="1" t="s">
        <v>44</v>
      </c>
      <c r="F27" s="8" t="s">
        <v>43</v>
      </c>
      <c r="G27" s="6">
        <v>216000</v>
      </c>
      <c r="H27" s="6"/>
      <c r="I27" s="6"/>
      <c r="J27" s="7"/>
      <c r="K27" s="73"/>
      <c r="L27" s="73"/>
      <c r="M27" s="73"/>
      <c r="N27" s="73"/>
      <c r="O27" s="3" t="str">
        <f>IF(C27="","",IF(C27=5,IFERROR(INDEX(code_Note1!$F$13:$F$16,MATCH(E27,code_Note1!$E$13:$E$16,0)),INDEX(code_Note1!$F$16,1)),IF(B27&lt;code_Note1!$D$21,"No",IFERROR(VLOOKUP(C27,code_Note1!$D$3:$G$8,3,FALSE),""))))</f>
        <v>No</v>
      </c>
      <c r="P27" s="3" t="s">
        <v>832</v>
      </c>
    </row>
    <row r="28" spans="1:16" ht="19.5" customHeight="1">
      <c r="A28" s="2" t="s">
        <v>854</v>
      </c>
      <c r="B28" s="38">
        <v>45324</v>
      </c>
      <c r="C28" s="1">
        <v>2</v>
      </c>
      <c r="D28" s="1" t="s">
        <v>838</v>
      </c>
      <c r="E28" s="1" t="s">
        <v>46</v>
      </c>
      <c r="F28" s="8" t="s">
        <v>45</v>
      </c>
      <c r="G28" s="6">
        <v>2000000</v>
      </c>
      <c r="H28" s="6"/>
      <c r="I28" s="6"/>
      <c r="J28" s="7"/>
      <c r="K28" s="73"/>
      <c r="L28" s="73"/>
      <c r="M28" s="73"/>
      <c r="N28" s="73"/>
      <c r="O28" s="3" t="str">
        <f>IF(C28="","",IF(C28=5,IFERROR(INDEX(code_Note1!$F$13:$F$16,MATCH(E28,code_Note1!$E$13:$E$16,0)),INDEX(code_Note1!$F$16,1)),IF(B28&lt;code_Note1!$D$21,"No",IFERROR(VLOOKUP(C28,code_Note1!$D$3:$G$8,3,FALSE),""))))</f>
        <v>No</v>
      </c>
      <c r="P28" s="3" t="s">
        <v>831</v>
      </c>
    </row>
    <row r="29" spans="1:16" ht="19.5" customHeight="1">
      <c r="A29" s="2" t="s">
        <v>854</v>
      </c>
      <c r="B29" s="38">
        <v>45324</v>
      </c>
      <c r="C29" s="1">
        <v>2</v>
      </c>
      <c r="D29" s="1" t="s">
        <v>838</v>
      </c>
      <c r="E29" s="1" t="s">
        <v>21</v>
      </c>
      <c r="F29" s="8" t="s">
        <v>47</v>
      </c>
      <c r="G29" s="6">
        <v>200000</v>
      </c>
      <c r="H29" s="6"/>
      <c r="I29" s="6"/>
      <c r="J29" s="7"/>
      <c r="K29" s="73"/>
      <c r="L29" s="73"/>
      <c r="M29" s="73"/>
      <c r="N29" s="73"/>
      <c r="O29" s="3" t="str">
        <f>IF(C29="","",IF(C29=5,IFERROR(INDEX(code_Note1!$F$13:$F$16,MATCH(E29,code_Note1!$E$13:$E$16,0)),INDEX(code_Note1!$F$16,1)),IF(B29&lt;code_Note1!$D$21,"No",IFERROR(VLOOKUP(C29,code_Note1!$D$3:$G$8,3,FALSE),""))))</f>
        <v>No</v>
      </c>
      <c r="P29" s="3" t="s">
        <v>831</v>
      </c>
    </row>
    <row r="30" spans="1:16" ht="19.5" customHeight="1">
      <c r="A30" s="2" t="s">
        <v>854</v>
      </c>
      <c r="B30" s="38">
        <v>45324</v>
      </c>
      <c r="C30" s="1">
        <v>2</v>
      </c>
      <c r="D30" s="1" t="s">
        <v>838</v>
      </c>
      <c r="E30" s="1" t="s">
        <v>46</v>
      </c>
      <c r="F30" s="8" t="s">
        <v>48</v>
      </c>
      <c r="G30" s="6">
        <v>500000</v>
      </c>
      <c r="H30" s="6"/>
      <c r="I30" s="6"/>
      <c r="J30" s="7"/>
      <c r="K30" s="73"/>
      <c r="L30" s="73"/>
      <c r="M30" s="73"/>
      <c r="N30" s="73"/>
      <c r="O30" s="3" t="str">
        <f>IF(C30="","",IF(C30=5,IFERROR(INDEX(code_Note1!$F$13:$F$16,MATCH(E30,code_Note1!$E$13:$E$16,0)),INDEX(code_Note1!$F$16,1)),IF(B30&lt;code_Note1!$D$21,"No",IFERROR(VLOOKUP(C30,code_Note1!$D$3:$G$8,3,FALSE),""))))</f>
        <v>No</v>
      </c>
      <c r="P30" s="3" t="s">
        <v>831</v>
      </c>
    </row>
    <row r="31" spans="1:16" ht="19.5" customHeight="1">
      <c r="A31" s="2" t="s">
        <v>854</v>
      </c>
      <c r="B31" s="38">
        <v>45325</v>
      </c>
      <c r="C31" s="1">
        <v>2</v>
      </c>
      <c r="D31" s="1" t="s">
        <v>838</v>
      </c>
      <c r="E31" s="1" t="s">
        <v>46</v>
      </c>
      <c r="F31" s="8" t="s">
        <v>49</v>
      </c>
      <c r="G31" s="6">
        <v>700000</v>
      </c>
      <c r="H31" s="6"/>
      <c r="I31" s="6"/>
      <c r="J31" s="7"/>
      <c r="K31" s="73"/>
      <c r="L31" s="73"/>
      <c r="M31" s="73"/>
      <c r="N31" s="73"/>
      <c r="O31" s="3" t="str">
        <f>IF(C31="","",IF(C31=5,IFERROR(INDEX(code_Note1!$F$13:$F$16,MATCH(E31,code_Note1!$E$13:$E$16,0)),INDEX(code_Note1!$F$16,1)),IF(B31&lt;code_Note1!$D$21,"No",IFERROR(VLOOKUP(C31,code_Note1!$D$3:$G$8,3,FALSE),""))))</f>
        <v>No</v>
      </c>
      <c r="P31" s="3" t="s">
        <v>831</v>
      </c>
    </row>
    <row r="32" spans="1:16" ht="19.5" customHeight="1">
      <c r="A32" s="2" t="s">
        <v>854</v>
      </c>
      <c r="B32" s="38">
        <v>45325</v>
      </c>
      <c r="C32" s="1">
        <v>2</v>
      </c>
      <c r="D32" s="1" t="s">
        <v>838</v>
      </c>
      <c r="E32" s="1" t="s">
        <v>51</v>
      </c>
      <c r="F32" s="8" t="s">
        <v>50</v>
      </c>
      <c r="G32" s="6">
        <v>0</v>
      </c>
      <c r="H32" s="6">
        <v>0</v>
      </c>
      <c r="I32" s="6">
        <v>2000</v>
      </c>
      <c r="J32" s="7"/>
      <c r="K32" s="73"/>
      <c r="L32" s="73"/>
      <c r="M32" s="73"/>
      <c r="N32" s="73"/>
      <c r="O32" s="3" t="str">
        <f>IF(C32="","",IF(C32=5,IFERROR(INDEX(code_Note1!$F$13:$F$16,MATCH(E32,code_Note1!$E$13:$E$16,0)),INDEX(code_Note1!$F$16,1)),IF(B32&lt;code_Note1!$D$21,"No",IFERROR(VLOOKUP(C32,code_Note1!$D$3:$G$8,3,FALSE),""))))</f>
        <v>No</v>
      </c>
      <c r="P32" s="3" t="s">
        <v>831</v>
      </c>
    </row>
    <row r="33" spans="1:16" ht="19.5" customHeight="1">
      <c r="A33" s="2" t="s">
        <v>854</v>
      </c>
      <c r="B33" s="38">
        <v>45620</v>
      </c>
      <c r="C33" s="1">
        <v>3</v>
      </c>
      <c r="D33" s="1" t="s">
        <v>823</v>
      </c>
      <c r="E33" s="1" t="s">
        <v>12</v>
      </c>
      <c r="F33" s="8" t="s">
        <v>52</v>
      </c>
      <c r="G33" s="6">
        <v>210000</v>
      </c>
      <c r="H33" s="6"/>
      <c r="I33" s="6"/>
      <c r="J33" s="7"/>
      <c r="K33" s="73"/>
      <c r="L33" s="73"/>
      <c r="M33" s="73"/>
      <c r="N33" s="73"/>
      <c r="O33" s="3" t="str">
        <f>IF(C33="","",IF(C33=5,IFERROR(INDEX(code_Note1!$F$13:$F$16,MATCH(E33,code_Note1!$E$13:$E$16,0)),INDEX(code_Note1!$F$16,1)),IF(B33&lt;code_Note1!$D$21,"No",IFERROR(VLOOKUP(C33,code_Note1!$D$3:$G$8,3,FALSE),""))))</f>
        <v>No</v>
      </c>
      <c r="P33" s="3" t="s">
        <v>832</v>
      </c>
    </row>
    <row r="34" spans="1:16" ht="19.5" customHeight="1">
      <c r="A34" s="2" t="s">
        <v>854</v>
      </c>
      <c r="B34" s="38">
        <v>45620</v>
      </c>
      <c r="C34" s="1">
        <v>1</v>
      </c>
      <c r="D34" s="1" t="s">
        <v>824</v>
      </c>
      <c r="E34" s="1" t="s">
        <v>54</v>
      </c>
      <c r="F34" s="8" t="s">
        <v>53</v>
      </c>
      <c r="G34" s="6">
        <v>5550000</v>
      </c>
      <c r="H34" s="6"/>
      <c r="I34" s="6"/>
      <c r="J34" s="7"/>
      <c r="K34" s="73"/>
      <c r="L34" s="73"/>
      <c r="M34" s="73"/>
      <c r="N34" s="73"/>
      <c r="O34" s="3" t="str">
        <f>IF(C34="","",IF(C34=5,IFERROR(INDEX(code_Note1!$F$13:$F$16,MATCH(E34,code_Note1!$E$13:$E$16,0)),INDEX(code_Note1!$F$16,1)),IF(B34&lt;code_Note1!$D$21,"No",IFERROR(VLOOKUP(C34,code_Note1!$D$3:$G$8,3,FALSE),""))))</f>
        <v>No</v>
      </c>
      <c r="P34" s="3" t="s">
        <v>832</v>
      </c>
    </row>
    <row r="35" spans="1:16" ht="19.5" customHeight="1">
      <c r="A35" s="2" t="s">
        <v>854</v>
      </c>
      <c r="B35" s="38">
        <v>45632</v>
      </c>
      <c r="C35" s="1">
        <v>1</v>
      </c>
      <c r="D35" s="1" t="s">
        <v>824</v>
      </c>
      <c r="E35" s="1" t="s">
        <v>56</v>
      </c>
      <c r="F35" s="8" t="s">
        <v>55</v>
      </c>
      <c r="G35" s="6">
        <v>230000</v>
      </c>
      <c r="H35" s="6"/>
      <c r="I35" s="6"/>
      <c r="J35" s="7"/>
      <c r="K35" s="73"/>
      <c r="L35" s="73"/>
      <c r="M35" s="73"/>
      <c r="N35" s="73"/>
      <c r="O35" s="3" t="str">
        <f>IF(C35="","",IF(C35=5,IFERROR(INDEX(code_Note1!$F$13:$F$16,MATCH(E35,code_Note1!$E$13:$E$16,0)),INDEX(code_Note1!$F$16,1)),IF(B35&lt;code_Note1!$D$21,"No",IFERROR(VLOOKUP(C35,code_Note1!$D$3:$G$8,3,FALSE),""))))</f>
        <v>No</v>
      </c>
      <c r="P35" s="3" t="s">
        <v>832</v>
      </c>
    </row>
    <row r="36" spans="1:16" ht="19.5" customHeight="1">
      <c r="A36" s="2" t="s">
        <v>854</v>
      </c>
      <c r="B36" s="38">
        <v>45645</v>
      </c>
      <c r="C36" s="1">
        <v>1</v>
      </c>
      <c r="D36" s="1" t="s">
        <v>824</v>
      </c>
      <c r="E36" s="1" t="s">
        <v>54</v>
      </c>
      <c r="F36" s="8" t="s">
        <v>57</v>
      </c>
      <c r="G36" s="6">
        <v>165000</v>
      </c>
      <c r="H36" s="6"/>
      <c r="I36" s="6"/>
      <c r="J36" s="7"/>
      <c r="K36" s="73"/>
      <c r="L36" s="73"/>
      <c r="M36" s="73"/>
      <c r="N36" s="73"/>
      <c r="O36" s="3" t="str">
        <f>IF(C36="","",IF(C36=5,IFERROR(INDEX(code_Note1!$F$13:$F$16,MATCH(E36,code_Note1!$E$13:$E$16,0)),INDEX(code_Note1!$F$16,1)),IF(B36&lt;code_Note1!$D$21,"No",IFERROR(VLOOKUP(C36,code_Note1!$D$3:$G$8,3,FALSE),""))))</f>
        <v>No</v>
      </c>
      <c r="P36" s="3" t="s">
        <v>832</v>
      </c>
    </row>
    <row r="37" spans="1:16" ht="19.5" customHeight="1">
      <c r="A37" s="2" t="s">
        <v>854</v>
      </c>
      <c r="B37" s="38">
        <v>45653</v>
      </c>
      <c r="C37" s="1">
        <v>1</v>
      </c>
      <c r="D37" s="1" t="s">
        <v>824</v>
      </c>
      <c r="E37" s="1" t="s">
        <v>56</v>
      </c>
      <c r="F37" s="8" t="s">
        <v>58</v>
      </c>
      <c r="G37" s="6">
        <v>2100000</v>
      </c>
      <c r="H37" s="6"/>
      <c r="I37" s="6"/>
      <c r="J37" s="7"/>
      <c r="K37" s="73"/>
      <c r="L37" s="73"/>
      <c r="M37" s="73"/>
      <c r="N37" s="73"/>
      <c r="O37" s="3" t="str">
        <f>IF(C37="","",IF(C37=5,IFERROR(INDEX(code_Note1!$F$13:$F$16,MATCH(E37,code_Note1!$E$13:$E$16,0)),INDEX(code_Note1!$F$16,1)),IF(B37&lt;code_Note1!$D$21,"No",IFERROR(VLOOKUP(C37,code_Note1!$D$3:$G$8,3,FALSE),""))))</f>
        <v>No</v>
      </c>
      <c r="P37" s="3" t="s">
        <v>832</v>
      </c>
    </row>
    <row r="38" spans="1:16" ht="19.5" customHeight="1">
      <c r="A38" s="2" t="s">
        <v>854</v>
      </c>
      <c r="B38" s="38">
        <v>45660</v>
      </c>
      <c r="C38" s="1">
        <v>2</v>
      </c>
      <c r="D38" s="1" t="s">
        <v>838</v>
      </c>
      <c r="E38" s="1" t="s">
        <v>60</v>
      </c>
      <c r="F38" s="8" t="s">
        <v>59</v>
      </c>
      <c r="G38" s="6">
        <v>36000000</v>
      </c>
      <c r="H38" s="6"/>
      <c r="I38" s="6"/>
      <c r="J38" s="7"/>
      <c r="K38" s="73"/>
      <c r="L38" s="73"/>
      <c r="M38" s="73"/>
      <c r="N38" s="73"/>
      <c r="O38" s="3" t="str">
        <f>IF(C38="","",IF(C38=5,IFERROR(INDEX(code_Note1!$F$13:$F$16,MATCH(E38,code_Note1!$E$13:$E$16,0)),INDEX(code_Note1!$F$16,1)),IF(B38&lt;code_Note1!$D$21,"No",IFERROR(VLOOKUP(C38,code_Note1!$D$3:$G$8,3,FALSE),""))))</f>
        <v>No</v>
      </c>
      <c r="P38" s="3" t="s">
        <v>831</v>
      </c>
    </row>
    <row r="39" spans="1:16" ht="19.5" customHeight="1">
      <c r="A39" s="2" t="s">
        <v>854</v>
      </c>
      <c r="B39" s="38">
        <v>45667</v>
      </c>
      <c r="C39" s="1">
        <v>1</v>
      </c>
      <c r="D39" s="1" t="s">
        <v>824</v>
      </c>
      <c r="E39" s="27" t="s">
        <v>62</v>
      </c>
      <c r="F39" s="8" t="s">
        <v>61</v>
      </c>
      <c r="G39" s="6">
        <v>1200000</v>
      </c>
      <c r="H39" s="6"/>
      <c r="I39" s="6"/>
      <c r="J39" s="7"/>
      <c r="K39" s="73"/>
      <c r="L39" s="73"/>
      <c r="M39" s="73"/>
      <c r="N39" s="73"/>
      <c r="O39" s="3" t="str">
        <f>IF(C39="","",IF(C39=5,IFERROR(INDEX(code_Note1!$F$13:$F$16,MATCH(E39,code_Note1!$E$13:$E$16,0)),INDEX(code_Note1!$F$16,1)),IF(B39&lt;code_Note1!$D$21,"No",IFERROR(VLOOKUP(C39,code_Note1!$D$3:$G$8,3,FALSE),""))))</f>
        <v>No</v>
      </c>
      <c r="P39" s="3" t="s">
        <v>832</v>
      </c>
    </row>
    <row r="40" spans="1:16" ht="19.5" customHeight="1">
      <c r="A40" s="2" t="s">
        <v>854</v>
      </c>
      <c r="B40" s="38">
        <v>45669</v>
      </c>
      <c r="C40" s="1">
        <v>1</v>
      </c>
      <c r="D40" s="1" t="s">
        <v>824</v>
      </c>
      <c r="E40" s="27" t="s">
        <v>62</v>
      </c>
      <c r="F40" s="8" t="s">
        <v>63</v>
      </c>
      <c r="G40" s="6">
        <v>3100000</v>
      </c>
      <c r="H40" s="6"/>
      <c r="I40" s="6"/>
      <c r="J40" s="7"/>
      <c r="K40" s="73"/>
      <c r="L40" s="73"/>
      <c r="M40" s="73"/>
      <c r="N40" s="73"/>
      <c r="O40" s="3" t="str">
        <f>IF(C40="","",IF(C40=5,IFERROR(INDEX(code_Note1!$F$13:$F$16,MATCH(E40,code_Note1!$E$13:$E$16,0)),INDEX(code_Note1!$F$16,1)),IF(B40&lt;code_Note1!$D$21,"No",IFERROR(VLOOKUP(C40,code_Note1!$D$3:$G$8,3,FALSE),""))))</f>
        <v>No</v>
      </c>
      <c r="P40" s="3" t="s">
        <v>832</v>
      </c>
    </row>
    <row r="41" spans="1:16" ht="19.5" customHeight="1">
      <c r="A41" s="2" t="s">
        <v>854</v>
      </c>
      <c r="B41" s="38">
        <v>45672</v>
      </c>
      <c r="C41" s="1">
        <v>1</v>
      </c>
      <c r="D41" s="1" t="s">
        <v>824</v>
      </c>
      <c r="E41" s="1" t="s">
        <v>54</v>
      </c>
      <c r="F41" s="8" t="s">
        <v>57</v>
      </c>
      <c r="G41" s="6">
        <v>120000</v>
      </c>
      <c r="H41" s="6"/>
      <c r="I41" s="6"/>
      <c r="J41" s="7"/>
      <c r="K41" s="73"/>
      <c r="L41" s="73"/>
      <c r="M41" s="73"/>
      <c r="N41" s="73"/>
      <c r="O41" s="3" t="str">
        <f>IF(C41="","",IF(C41=5,IFERROR(INDEX(code_Note1!$F$13:$F$16,MATCH(E41,code_Note1!$E$13:$E$16,0)),INDEX(code_Note1!$F$16,1)),IF(B41&lt;code_Note1!$D$21,"No",IFERROR(VLOOKUP(C41,code_Note1!$D$3:$G$8,3,FALSE),""))))</f>
        <v>No</v>
      </c>
      <c r="P41" s="3" t="s">
        <v>832</v>
      </c>
    </row>
    <row r="42" spans="1:16" ht="19.5" customHeight="1">
      <c r="A42" s="2" t="s">
        <v>854</v>
      </c>
      <c r="B42" s="38">
        <v>45675</v>
      </c>
      <c r="C42" s="1">
        <v>2</v>
      </c>
      <c r="D42" s="1" t="s">
        <v>838</v>
      </c>
      <c r="E42" s="1" t="s">
        <v>65</v>
      </c>
      <c r="F42" s="8" t="s">
        <v>64</v>
      </c>
      <c r="G42" s="6">
        <v>0</v>
      </c>
      <c r="H42" s="6"/>
      <c r="I42" s="6">
        <v>1000</v>
      </c>
      <c r="J42" s="7"/>
      <c r="K42" s="73"/>
      <c r="L42" s="73"/>
      <c r="M42" s="73"/>
      <c r="N42" s="73"/>
      <c r="O42" s="3" t="str">
        <f>IF(C42="","",IF(C42=5,IFERROR(INDEX(code_Note1!$F$13:$F$16,MATCH(E42,code_Note1!$E$13:$E$16,0)),INDEX(code_Note1!$F$16,1)),IF(B42&lt;code_Note1!$D$21,"No",IFERROR(VLOOKUP(C42,code_Note1!$D$3:$G$8,3,FALSE),""))))</f>
        <v>No</v>
      </c>
      <c r="P42" s="3" t="s">
        <v>831</v>
      </c>
    </row>
    <row r="43" spans="1:16" ht="19.5" customHeight="1">
      <c r="A43" s="2" t="s">
        <v>854</v>
      </c>
      <c r="B43" s="38">
        <v>45675</v>
      </c>
      <c r="C43" s="1">
        <v>3</v>
      </c>
      <c r="D43" s="1" t="s">
        <v>823</v>
      </c>
      <c r="E43" s="1" t="s">
        <v>12</v>
      </c>
      <c r="F43" s="8" t="s">
        <v>66</v>
      </c>
      <c r="G43" s="6">
        <v>126000</v>
      </c>
      <c r="H43" s="6"/>
      <c r="I43" s="6"/>
      <c r="J43" s="7"/>
      <c r="K43" s="73"/>
      <c r="L43" s="73"/>
      <c r="M43" s="73"/>
      <c r="N43" s="73"/>
      <c r="O43" s="3" t="str">
        <f>IF(C43="","",IF(C43=5,IFERROR(INDEX(code_Note1!$F$13:$F$16,MATCH(E43,code_Note1!$E$13:$E$16,0)),INDEX(code_Note1!$F$16,1)),IF(B43&lt;code_Note1!$D$21,"No",IFERROR(VLOOKUP(C43,code_Note1!$D$3:$G$8,3,FALSE),""))))</f>
        <v>No</v>
      </c>
      <c r="P43" s="3" t="s">
        <v>832</v>
      </c>
    </row>
    <row r="44" spans="1:16" ht="19.5" customHeight="1">
      <c r="A44" s="2" t="s">
        <v>854</v>
      </c>
      <c r="B44" s="38">
        <v>45677</v>
      </c>
      <c r="C44" s="1">
        <v>2</v>
      </c>
      <c r="D44" s="1" t="s">
        <v>838</v>
      </c>
      <c r="E44" s="1" t="s">
        <v>60</v>
      </c>
      <c r="F44" s="8" t="s">
        <v>67</v>
      </c>
      <c r="G44" s="6">
        <v>33000000</v>
      </c>
      <c r="H44" s="6"/>
      <c r="I44" s="6"/>
      <c r="J44" s="7"/>
      <c r="K44" s="73"/>
      <c r="L44" s="73"/>
      <c r="M44" s="73"/>
      <c r="N44" s="73"/>
      <c r="O44" s="3" t="str">
        <f>IF(C44="","",IF(C44=5,IFERROR(INDEX(code_Note1!$F$13:$F$16,MATCH(E44,code_Note1!$E$13:$E$16,0)),INDEX(code_Note1!$F$16,1)),IF(B44&lt;code_Note1!$D$21,"No",IFERROR(VLOOKUP(C44,code_Note1!$D$3:$G$8,3,FALSE),""))))</f>
        <v>No</v>
      </c>
      <c r="P44" s="3" t="s">
        <v>831</v>
      </c>
    </row>
    <row r="45" spans="1:16" ht="19.5" customHeight="1">
      <c r="A45" s="2" t="s">
        <v>854</v>
      </c>
      <c r="B45" s="38">
        <v>45677</v>
      </c>
      <c r="C45" s="1">
        <v>1</v>
      </c>
      <c r="D45" s="1" t="s">
        <v>824</v>
      </c>
      <c r="E45" s="1" t="s">
        <v>56</v>
      </c>
      <c r="F45" s="8" t="s">
        <v>68</v>
      </c>
      <c r="G45" s="6">
        <v>5000000</v>
      </c>
      <c r="H45" s="6"/>
      <c r="I45" s="6"/>
      <c r="J45" s="7"/>
      <c r="K45" s="73"/>
      <c r="L45" s="73"/>
      <c r="M45" s="73"/>
      <c r="N45" s="73"/>
      <c r="O45" s="3" t="str">
        <f>IF(C45="","",IF(C45=5,IFERROR(INDEX(code_Note1!$F$13:$F$16,MATCH(E45,code_Note1!$E$13:$E$16,0)),INDEX(code_Note1!$F$16,1)),IF(B45&lt;code_Note1!$D$21,"No",IFERROR(VLOOKUP(C45,code_Note1!$D$3:$G$8,3,FALSE),""))))</f>
        <v>No</v>
      </c>
      <c r="P45" s="3" t="s">
        <v>832</v>
      </c>
    </row>
    <row r="46" spans="1:16" ht="19.5" customHeight="1">
      <c r="A46" s="2" t="s">
        <v>854</v>
      </c>
      <c r="B46" s="38">
        <v>45678</v>
      </c>
      <c r="C46" s="1">
        <v>1</v>
      </c>
      <c r="D46" s="1" t="s">
        <v>824</v>
      </c>
      <c r="E46" s="1" t="s">
        <v>54</v>
      </c>
      <c r="F46" s="8" t="s">
        <v>69</v>
      </c>
      <c r="G46" s="6">
        <v>180000</v>
      </c>
      <c r="H46" s="6"/>
      <c r="I46" s="6"/>
      <c r="J46" s="7"/>
      <c r="K46" s="73"/>
      <c r="L46" s="73"/>
      <c r="M46" s="73"/>
      <c r="N46" s="73"/>
      <c r="O46" s="3" t="str">
        <f>IF(C46="","",IF(C46=5,IFERROR(INDEX(code_Note1!$F$13:$F$16,MATCH(E46,code_Note1!$E$13:$E$16,0)),INDEX(code_Note1!$F$16,1)),IF(B46&lt;code_Note1!$D$21,"No",IFERROR(VLOOKUP(C46,code_Note1!$D$3:$G$8,3,FALSE),""))))</f>
        <v>No</v>
      </c>
      <c r="P46" s="3" t="s">
        <v>832</v>
      </c>
    </row>
    <row r="47" spans="1:16" ht="19.5" customHeight="1">
      <c r="A47" s="2" t="s">
        <v>854</v>
      </c>
      <c r="B47" s="38">
        <v>45679</v>
      </c>
      <c r="C47" s="1">
        <v>3</v>
      </c>
      <c r="D47" s="1" t="s">
        <v>823</v>
      </c>
      <c r="E47" s="1" t="s">
        <v>12</v>
      </c>
      <c r="F47" s="8" t="s">
        <v>70</v>
      </c>
      <c r="G47" s="6">
        <v>612500</v>
      </c>
      <c r="H47" s="6"/>
      <c r="I47" s="6"/>
      <c r="J47" s="7"/>
      <c r="K47" s="73"/>
      <c r="L47" s="73"/>
      <c r="M47" s="73"/>
      <c r="N47" s="73"/>
      <c r="O47" s="3" t="str">
        <f>IF(C47="","",IF(C47=5,IFERROR(INDEX(code_Note1!$F$13:$F$16,MATCH(E47,code_Note1!$E$13:$E$16,0)),INDEX(code_Note1!$F$16,1)),IF(B47&lt;code_Note1!$D$21,"No",IFERROR(VLOOKUP(C47,code_Note1!$D$3:$G$8,3,FALSE),""))))</f>
        <v>No</v>
      </c>
      <c r="P47" s="3" t="s">
        <v>832</v>
      </c>
    </row>
    <row r="48" spans="1:16" ht="19.5" customHeight="1">
      <c r="A48" s="2" t="s">
        <v>854</v>
      </c>
      <c r="B48" s="38">
        <v>45679</v>
      </c>
      <c r="C48" s="1">
        <v>3</v>
      </c>
      <c r="D48" s="1" t="s">
        <v>823</v>
      </c>
      <c r="E48" s="1" t="s">
        <v>12</v>
      </c>
      <c r="F48" s="8" t="s">
        <v>71</v>
      </c>
      <c r="G48" s="6">
        <v>1600000</v>
      </c>
      <c r="H48" s="6"/>
      <c r="I48" s="6"/>
      <c r="J48" s="7"/>
      <c r="K48" s="73"/>
      <c r="L48" s="73"/>
      <c r="M48" s="73"/>
      <c r="N48" s="73"/>
      <c r="O48" s="3" t="str">
        <f>IF(C48="","",IF(C48=5,IFERROR(INDEX(code_Note1!$F$13:$F$16,MATCH(E48,code_Note1!$E$13:$E$16,0)),INDEX(code_Note1!$F$16,1)),IF(B48&lt;code_Note1!$D$21,"No",IFERROR(VLOOKUP(C48,code_Note1!$D$3:$G$8,3,FALSE),""))))</f>
        <v>No</v>
      </c>
      <c r="P48" s="3" t="s">
        <v>832</v>
      </c>
    </row>
    <row r="49" spans="1:16" ht="19.5" customHeight="1">
      <c r="A49" s="2" t="s">
        <v>854</v>
      </c>
      <c r="B49" s="38">
        <v>45679</v>
      </c>
      <c r="C49" s="1">
        <v>3</v>
      </c>
      <c r="D49" s="1" t="s">
        <v>823</v>
      </c>
      <c r="E49" s="1" t="s">
        <v>12</v>
      </c>
      <c r="F49" s="8" t="s">
        <v>72</v>
      </c>
      <c r="G49" s="6">
        <v>400000</v>
      </c>
      <c r="H49" s="6"/>
      <c r="I49" s="6"/>
      <c r="J49" s="7"/>
      <c r="K49" s="73"/>
      <c r="L49" s="73"/>
      <c r="M49" s="73"/>
      <c r="N49" s="73"/>
      <c r="O49" s="3" t="str">
        <f>IF(C49="","",IF(C49=5,IFERROR(INDEX(code_Note1!$F$13:$F$16,MATCH(E49,code_Note1!$E$13:$E$16,0)),INDEX(code_Note1!$F$16,1)),IF(B49&lt;code_Note1!$D$21,"No",IFERROR(VLOOKUP(C49,code_Note1!$D$3:$G$8,3,FALSE),""))))</f>
        <v>No</v>
      </c>
      <c r="P49" s="3" t="s">
        <v>832</v>
      </c>
    </row>
    <row r="50" spans="1:16" ht="19.5" customHeight="1">
      <c r="A50" s="2" t="s">
        <v>854</v>
      </c>
      <c r="B50" s="38">
        <v>45680</v>
      </c>
      <c r="C50" s="1">
        <v>2</v>
      </c>
      <c r="D50" s="1" t="s">
        <v>838</v>
      </c>
      <c r="E50" s="1" t="s">
        <v>42</v>
      </c>
      <c r="F50" s="8" t="s">
        <v>73</v>
      </c>
      <c r="G50" s="6">
        <v>500000</v>
      </c>
      <c r="H50" s="6"/>
      <c r="I50" s="6"/>
      <c r="J50" s="7"/>
      <c r="K50" s="73"/>
      <c r="L50" s="73"/>
      <c r="M50" s="73"/>
      <c r="N50" s="73"/>
      <c r="O50" s="3" t="str">
        <f>IF(C50="","",IF(C50=5,IFERROR(INDEX(code_Note1!$F$13:$F$16,MATCH(E50,code_Note1!$E$13:$E$16,0)),INDEX(code_Note1!$F$16,1)),IF(B50&lt;code_Note1!$D$21,"No",IFERROR(VLOOKUP(C50,code_Note1!$D$3:$G$8,3,FALSE),""))))</f>
        <v>No</v>
      </c>
      <c r="P50" s="3" t="s">
        <v>831</v>
      </c>
    </row>
    <row r="51" spans="1:16" ht="19.5" customHeight="1">
      <c r="A51" s="2" t="s">
        <v>854</v>
      </c>
      <c r="B51" s="38">
        <v>45680</v>
      </c>
      <c r="C51" s="1">
        <v>1</v>
      </c>
      <c r="D51" s="1" t="s">
        <v>824</v>
      </c>
      <c r="E51" s="1" t="s">
        <v>54</v>
      </c>
      <c r="F51" s="8" t="s">
        <v>74</v>
      </c>
      <c r="G51" s="6">
        <v>120000</v>
      </c>
      <c r="H51" s="6"/>
      <c r="I51" s="6"/>
      <c r="J51" s="7"/>
      <c r="K51" s="73"/>
      <c r="L51" s="73"/>
      <c r="M51" s="73"/>
      <c r="N51" s="73"/>
      <c r="O51" s="3" t="str">
        <f>IF(C51="","",IF(C51=5,IFERROR(INDEX(code_Note1!$F$13:$F$16,MATCH(E51,code_Note1!$E$13:$E$16,0)),INDEX(code_Note1!$F$16,1)),IF(B51&lt;code_Note1!$D$21,"No",IFERROR(VLOOKUP(C51,code_Note1!$D$3:$G$8,3,FALSE),""))))</f>
        <v>No</v>
      </c>
      <c r="P51" s="3" t="s">
        <v>832</v>
      </c>
    </row>
    <row r="52" spans="1:16" ht="19.5" customHeight="1">
      <c r="A52" s="2" t="s">
        <v>854</v>
      </c>
      <c r="B52" s="38">
        <v>45681</v>
      </c>
      <c r="C52" s="1">
        <v>2</v>
      </c>
      <c r="D52" s="1" t="s">
        <v>838</v>
      </c>
      <c r="E52" s="1" t="s">
        <v>76</v>
      </c>
      <c r="F52" s="8" t="s">
        <v>75</v>
      </c>
      <c r="G52" s="6">
        <v>110000</v>
      </c>
      <c r="H52" s="6"/>
      <c r="I52" s="6"/>
      <c r="J52" s="7"/>
      <c r="K52" s="73"/>
      <c r="L52" s="73"/>
      <c r="M52" s="73"/>
      <c r="N52" s="73"/>
      <c r="O52" s="3" t="str">
        <f>IF(C52="","",IF(C52=5,IFERROR(INDEX(code_Note1!$F$13:$F$16,MATCH(E52,code_Note1!$E$13:$E$16,0)),INDEX(code_Note1!$F$16,1)),IF(B52&lt;code_Note1!$D$21,"No",IFERROR(VLOOKUP(C52,code_Note1!$D$3:$G$8,3,FALSE),""))))</f>
        <v>No</v>
      </c>
      <c r="P52" s="3" t="s">
        <v>831</v>
      </c>
    </row>
    <row r="53" spans="1:16" ht="19.5" customHeight="1">
      <c r="A53" s="2" t="s">
        <v>854</v>
      </c>
      <c r="B53" s="38">
        <v>45681</v>
      </c>
      <c r="C53" s="1">
        <v>2</v>
      </c>
      <c r="D53" s="1" t="s">
        <v>838</v>
      </c>
      <c r="E53" s="1" t="s">
        <v>21</v>
      </c>
      <c r="F53" s="8" t="s">
        <v>77</v>
      </c>
      <c r="G53" s="6">
        <v>0</v>
      </c>
      <c r="H53" s="6">
        <v>1500</v>
      </c>
      <c r="I53" s="6"/>
      <c r="J53" s="7"/>
      <c r="K53" s="73"/>
      <c r="L53" s="73"/>
      <c r="M53" s="73"/>
      <c r="N53" s="73"/>
      <c r="O53" s="3" t="str">
        <f>IF(C53="","",IF(C53=5,IFERROR(INDEX(code_Note1!$F$13:$F$16,MATCH(E53,code_Note1!$E$13:$E$16,0)),INDEX(code_Note1!$F$16,1)),IF(B53&lt;code_Note1!$D$21,"No",IFERROR(VLOOKUP(C53,code_Note1!$D$3:$G$8,3,FALSE),""))))</f>
        <v>No</v>
      </c>
      <c r="P53" s="3" t="s">
        <v>831</v>
      </c>
    </row>
    <row r="54" spans="1:16" ht="19.5" customHeight="1">
      <c r="A54" s="2" t="s">
        <v>854</v>
      </c>
      <c r="B54" s="38">
        <v>45681</v>
      </c>
      <c r="C54" s="1">
        <v>2</v>
      </c>
      <c r="D54" s="1" t="s">
        <v>838</v>
      </c>
      <c r="E54" s="1" t="s">
        <v>21</v>
      </c>
      <c r="F54" s="8" t="s">
        <v>78</v>
      </c>
      <c r="G54" s="6">
        <v>380000</v>
      </c>
      <c r="H54" s="6"/>
      <c r="I54" s="6"/>
      <c r="J54" s="7"/>
      <c r="K54" s="73"/>
      <c r="L54" s="73"/>
      <c r="M54" s="73"/>
      <c r="N54" s="73"/>
      <c r="O54" s="3" t="str">
        <f>IF(C54="","",IF(C54=5,IFERROR(INDEX(code_Note1!$F$13:$F$16,MATCH(E54,code_Note1!$E$13:$E$16,0)),INDEX(code_Note1!$F$16,1)),IF(B54&lt;code_Note1!$D$21,"No",IFERROR(VLOOKUP(C54,code_Note1!$D$3:$G$8,3,FALSE),""))))</f>
        <v>No</v>
      </c>
      <c r="P54" s="3" t="s">
        <v>831</v>
      </c>
    </row>
    <row r="55" spans="1:16" ht="19.5" customHeight="1">
      <c r="A55" s="2" t="s">
        <v>854</v>
      </c>
      <c r="B55" s="38">
        <v>45692</v>
      </c>
      <c r="C55" s="1">
        <v>2</v>
      </c>
      <c r="D55" s="1" t="s">
        <v>838</v>
      </c>
      <c r="E55" s="1" t="s">
        <v>80</v>
      </c>
      <c r="F55" s="8" t="s">
        <v>79</v>
      </c>
      <c r="G55" s="6">
        <v>28200000</v>
      </c>
      <c r="H55" s="6"/>
      <c r="I55" s="6"/>
      <c r="J55" s="7"/>
      <c r="K55" s="73"/>
      <c r="L55" s="73"/>
      <c r="M55" s="73"/>
      <c r="N55" s="73"/>
      <c r="O55" s="3" t="str">
        <f>IF(C55="","",IF(C55=5,IFERROR(INDEX(code_Note1!$F$13:$F$16,MATCH(E55,code_Note1!$E$13:$E$16,0)),INDEX(code_Note1!$F$16,1)),IF(B55&lt;code_Note1!$D$21,"No",IFERROR(VLOOKUP(C55,code_Note1!$D$3:$G$8,3,FALSE),""))))</f>
        <v>No</v>
      </c>
      <c r="P55" s="3" t="s">
        <v>831</v>
      </c>
    </row>
    <row r="56" spans="1:16" ht="19.5" customHeight="1">
      <c r="A56" s="2" t="s">
        <v>854</v>
      </c>
      <c r="B56" s="38">
        <v>45692</v>
      </c>
      <c r="C56" s="1">
        <v>2</v>
      </c>
      <c r="D56" s="1" t="s">
        <v>838</v>
      </c>
      <c r="E56" s="1" t="s">
        <v>82</v>
      </c>
      <c r="F56" s="8" t="s">
        <v>81</v>
      </c>
      <c r="G56" s="6">
        <v>12026000</v>
      </c>
      <c r="H56" s="6"/>
      <c r="I56" s="6"/>
      <c r="J56" s="7"/>
      <c r="K56" s="73"/>
      <c r="L56" s="73"/>
      <c r="M56" s="73"/>
      <c r="N56" s="73"/>
      <c r="O56" s="3" t="str">
        <f>IF(C56="","",IF(C56=5,IFERROR(INDEX(code_Note1!$F$13:$F$16,MATCH(E56,code_Note1!$E$13:$E$16,0)),INDEX(code_Note1!$F$16,1)),IF(B56&lt;code_Note1!$D$21,"No",IFERROR(VLOOKUP(C56,code_Note1!$D$3:$G$8,3,FALSE),""))))</f>
        <v>No</v>
      </c>
      <c r="P56" s="3" t="s">
        <v>831</v>
      </c>
    </row>
    <row r="57" spans="1:16" ht="19.5" customHeight="1">
      <c r="A57" s="2" t="s">
        <v>854</v>
      </c>
      <c r="B57" s="38">
        <v>45692</v>
      </c>
      <c r="C57" s="1">
        <v>2</v>
      </c>
      <c r="D57" s="1" t="s">
        <v>838</v>
      </c>
      <c r="E57" s="1" t="s">
        <v>80</v>
      </c>
      <c r="F57" s="8" t="s">
        <v>83</v>
      </c>
      <c r="G57" s="6">
        <v>3800000</v>
      </c>
      <c r="H57" s="6"/>
      <c r="I57" s="6"/>
      <c r="J57" s="7"/>
      <c r="K57" s="73"/>
      <c r="L57" s="73"/>
      <c r="M57" s="73"/>
      <c r="N57" s="73"/>
      <c r="O57" s="3" t="str">
        <f>IF(C57="","",IF(C57=5,IFERROR(INDEX(code_Note1!$F$13:$F$16,MATCH(E57,code_Note1!$E$13:$E$16,0)),INDEX(code_Note1!$F$16,1)),IF(B57&lt;code_Note1!$D$21,"No",IFERROR(VLOOKUP(C57,code_Note1!$D$3:$G$8,3,FALSE),""))))</f>
        <v>No</v>
      </c>
      <c r="P57" s="3" t="s">
        <v>831</v>
      </c>
    </row>
    <row r="58" spans="1:16" ht="19.5" customHeight="1">
      <c r="A58" s="2" t="s">
        <v>854</v>
      </c>
      <c r="B58" s="38">
        <v>45692</v>
      </c>
      <c r="C58" s="1">
        <v>2</v>
      </c>
      <c r="D58" s="1" t="s">
        <v>838</v>
      </c>
      <c r="E58" s="1" t="s">
        <v>21</v>
      </c>
      <c r="F58" s="8" t="s">
        <v>84</v>
      </c>
      <c r="G58" s="6">
        <v>20000</v>
      </c>
      <c r="H58" s="6"/>
      <c r="I58" s="6"/>
      <c r="J58" s="7"/>
      <c r="K58" s="73"/>
      <c r="L58" s="73"/>
      <c r="M58" s="73"/>
      <c r="N58" s="73"/>
      <c r="O58" s="3" t="str">
        <f>IF(C58="","",IF(C58=5,IFERROR(INDEX(code_Note1!$F$13:$F$16,MATCH(E58,code_Note1!$E$13:$E$16,0)),INDEX(code_Note1!$F$16,1)),IF(B58&lt;code_Note1!$D$21,"No",IFERROR(VLOOKUP(C58,code_Note1!$D$3:$G$8,3,FALSE),""))))</f>
        <v>No</v>
      </c>
      <c r="P58" s="3" t="s">
        <v>831</v>
      </c>
    </row>
    <row r="59" spans="1:16" ht="19.5" customHeight="1">
      <c r="A59" s="2" t="s">
        <v>854</v>
      </c>
      <c r="B59" s="38">
        <v>45693</v>
      </c>
      <c r="C59" s="1">
        <v>2</v>
      </c>
      <c r="D59" s="1" t="s">
        <v>838</v>
      </c>
      <c r="E59" s="1" t="s">
        <v>25</v>
      </c>
      <c r="F59" s="8" t="s">
        <v>85</v>
      </c>
      <c r="G59" s="6">
        <v>1700000</v>
      </c>
      <c r="H59" s="6"/>
      <c r="I59" s="6"/>
      <c r="J59" s="7"/>
      <c r="K59" s="73"/>
      <c r="L59" s="73"/>
      <c r="M59" s="73"/>
      <c r="N59" s="73"/>
      <c r="O59" s="3" t="str">
        <f>IF(C59="","",IF(C59=5,IFERROR(INDEX(code_Note1!$F$13:$F$16,MATCH(E59,code_Note1!$E$13:$E$16,0)),INDEX(code_Note1!$F$16,1)),IF(B59&lt;code_Note1!$D$21,"No",IFERROR(VLOOKUP(C59,code_Note1!$D$3:$G$8,3,FALSE),""))))</f>
        <v>No</v>
      </c>
      <c r="P59" s="3" t="s">
        <v>831</v>
      </c>
    </row>
    <row r="60" spans="1:16" ht="19.5" customHeight="1">
      <c r="A60" s="2" t="s">
        <v>854</v>
      </c>
      <c r="B60" s="38">
        <v>45693</v>
      </c>
      <c r="C60" s="1">
        <v>2</v>
      </c>
      <c r="D60" s="1" t="s">
        <v>838</v>
      </c>
      <c r="E60" s="1" t="s">
        <v>21</v>
      </c>
      <c r="F60" s="8" t="s">
        <v>86</v>
      </c>
      <c r="G60" s="6">
        <v>60000</v>
      </c>
      <c r="H60" s="6"/>
      <c r="I60" s="6"/>
      <c r="J60" s="7"/>
      <c r="K60" s="73"/>
      <c r="L60" s="73"/>
      <c r="M60" s="73"/>
      <c r="N60" s="73"/>
      <c r="O60" s="3" t="str">
        <f>IF(C60="","",IF(C60=5,IFERROR(INDEX(code_Note1!$F$13:$F$16,MATCH(E60,code_Note1!$E$13:$E$16,0)),INDEX(code_Note1!$F$16,1)),IF(B60&lt;code_Note1!$D$21,"No",IFERROR(VLOOKUP(C60,code_Note1!$D$3:$G$8,3,FALSE),""))))</f>
        <v>No</v>
      </c>
      <c r="P60" s="3" t="s">
        <v>831</v>
      </c>
    </row>
    <row r="61" spans="1:16" ht="19.5" customHeight="1">
      <c r="A61" s="2" t="s">
        <v>854</v>
      </c>
      <c r="B61" s="38">
        <v>45695</v>
      </c>
      <c r="C61" s="1">
        <v>2</v>
      </c>
      <c r="D61" s="1" t="s">
        <v>838</v>
      </c>
      <c r="E61" s="1" t="s">
        <v>21</v>
      </c>
      <c r="F61" s="8" t="s">
        <v>87</v>
      </c>
      <c r="G61" s="6">
        <v>100000</v>
      </c>
      <c r="H61" s="6"/>
      <c r="I61" s="6"/>
      <c r="J61" s="7"/>
      <c r="K61" s="73"/>
      <c r="L61" s="73"/>
      <c r="M61" s="73"/>
      <c r="N61" s="73"/>
      <c r="O61" s="3" t="str">
        <f>IF(C61="","",IF(C61=5,IFERROR(INDEX(code_Note1!$F$13:$F$16,MATCH(E61,code_Note1!$E$13:$E$16,0)),INDEX(code_Note1!$F$16,1)),IF(B61&lt;code_Note1!$D$21,"No",IFERROR(VLOOKUP(C61,code_Note1!$D$3:$G$8,3,FALSE),""))))</f>
        <v>No</v>
      </c>
      <c r="P61" s="3" t="s">
        <v>831</v>
      </c>
    </row>
    <row r="62" spans="1:16" ht="19.5" customHeight="1">
      <c r="A62" s="2" t="s">
        <v>854</v>
      </c>
      <c r="B62" s="38">
        <v>45695</v>
      </c>
      <c r="C62" s="1">
        <v>3</v>
      </c>
      <c r="D62" s="1" t="s">
        <v>823</v>
      </c>
      <c r="E62" s="1" t="s">
        <v>38</v>
      </c>
      <c r="F62" s="8" t="s">
        <v>88</v>
      </c>
      <c r="G62" s="6">
        <v>500000</v>
      </c>
      <c r="H62" s="6"/>
      <c r="I62" s="6"/>
      <c r="J62" s="7"/>
      <c r="K62" s="73"/>
      <c r="L62" s="73"/>
      <c r="M62" s="73"/>
      <c r="N62" s="73"/>
      <c r="O62" s="3" t="str">
        <f>IF(C62="","",IF(C62=5,IFERROR(INDEX(code_Note1!$F$13:$F$16,MATCH(E62,code_Note1!$E$13:$E$16,0)),INDEX(code_Note1!$F$16,1)),IF(B62&lt;code_Note1!$D$21,"No",IFERROR(VLOOKUP(C62,code_Note1!$D$3:$G$8,3,FALSE),""))))</f>
        <v>No</v>
      </c>
      <c r="P62" s="3" t="s">
        <v>832</v>
      </c>
    </row>
    <row r="63" spans="1:16" ht="19.5" customHeight="1">
      <c r="A63" s="2" t="s">
        <v>854</v>
      </c>
      <c r="B63" s="38">
        <v>45696</v>
      </c>
      <c r="C63" s="1">
        <v>2</v>
      </c>
      <c r="D63" s="1" t="s">
        <v>838</v>
      </c>
      <c r="E63" s="1" t="s">
        <v>25</v>
      </c>
      <c r="F63" s="8" t="s">
        <v>89</v>
      </c>
      <c r="G63" s="6">
        <v>5000000</v>
      </c>
      <c r="H63" s="6"/>
      <c r="I63" s="6"/>
      <c r="J63" s="7"/>
      <c r="K63" s="73"/>
      <c r="L63" s="73"/>
      <c r="M63" s="73"/>
      <c r="N63" s="73"/>
      <c r="O63" s="3" t="str">
        <f>IF(C63="","",IF(C63=5,IFERROR(INDEX(code_Note1!$F$13:$F$16,MATCH(E63,code_Note1!$E$13:$E$16,0)),INDEX(code_Note1!$F$16,1)),IF(B63&lt;code_Note1!$D$21,"No",IFERROR(VLOOKUP(C63,code_Note1!$D$3:$G$8,3,FALSE),""))))</f>
        <v>No</v>
      </c>
      <c r="P63" s="3" t="s">
        <v>831</v>
      </c>
    </row>
    <row r="64" spans="1:16" ht="19.5" customHeight="1">
      <c r="A64" s="2" t="s">
        <v>854</v>
      </c>
      <c r="B64" s="38">
        <v>45696</v>
      </c>
      <c r="C64" s="1">
        <v>2</v>
      </c>
      <c r="D64" s="1" t="s">
        <v>838</v>
      </c>
      <c r="E64" s="1" t="s">
        <v>14</v>
      </c>
      <c r="F64" s="8" t="s">
        <v>90</v>
      </c>
      <c r="G64" s="6">
        <v>4165000</v>
      </c>
      <c r="H64" s="6"/>
      <c r="I64" s="6"/>
      <c r="J64" s="7"/>
      <c r="K64" s="73"/>
      <c r="L64" s="73"/>
      <c r="M64" s="73"/>
      <c r="N64" s="73"/>
      <c r="O64" s="3" t="str">
        <f>IF(C64="","",IF(C64=5,IFERROR(INDEX(code_Note1!$F$13:$F$16,MATCH(E64,code_Note1!$E$13:$E$16,0)),INDEX(code_Note1!$F$16,1)),IF(B64&lt;code_Note1!$D$21,"No",IFERROR(VLOOKUP(C64,code_Note1!$D$3:$G$8,3,FALSE),""))))</f>
        <v>No</v>
      </c>
      <c r="P64" s="3" t="s">
        <v>831</v>
      </c>
    </row>
    <row r="65" spans="1:16" ht="19.5" customHeight="1">
      <c r="A65" s="2" t="s">
        <v>854</v>
      </c>
      <c r="B65" s="38">
        <v>45696</v>
      </c>
      <c r="C65" s="1">
        <v>2</v>
      </c>
      <c r="D65" s="1" t="s">
        <v>838</v>
      </c>
      <c r="E65" s="1" t="s">
        <v>46</v>
      </c>
      <c r="F65" s="8" t="s">
        <v>91</v>
      </c>
      <c r="G65" s="6">
        <v>600000</v>
      </c>
      <c r="H65" s="6"/>
      <c r="I65" s="6"/>
      <c r="J65" s="7"/>
      <c r="K65" s="73"/>
      <c r="L65" s="73"/>
      <c r="M65" s="73"/>
      <c r="N65" s="73"/>
      <c r="O65" s="3" t="str">
        <f>IF(C65="","",IF(C65=5,IFERROR(INDEX(code_Note1!$F$13:$F$16,MATCH(E65,code_Note1!$E$13:$E$16,0)),INDEX(code_Note1!$F$16,1)),IF(B65&lt;code_Note1!$D$21,"No",IFERROR(VLOOKUP(C65,code_Note1!$D$3:$G$8,3,FALSE),""))))</f>
        <v>No</v>
      </c>
      <c r="P65" s="3" t="s">
        <v>831</v>
      </c>
    </row>
    <row r="66" spans="1:16" ht="19.5" customHeight="1">
      <c r="A66" s="2" t="s">
        <v>854</v>
      </c>
      <c r="B66" s="38">
        <v>45696</v>
      </c>
      <c r="C66" s="1">
        <v>3</v>
      </c>
      <c r="D66" s="1" t="s">
        <v>823</v>
      </c>
      <c r="E66" s="1" t="s">
        <v>12</v>
      </c>
      <c r="F66" s="8" t="s">
        <v>92</v>
      </c>
      <c r="G66" s="6">
        <v>300000</v>
      </c>
      <c r="H66" s="6"/>
      <c r="I66" s="6"/>
      <c r="J66" s="7"/>
      <c r="K66" s="73"/>
      <c r="L66" s="73"/>
      <c r="M66" s="73"/>
      <c r="N66" s="73"/>
      <c r="O66" s="3" t="str">
        <f>IF(C66="","",IF(C66=5,IFERROR(INDEX(code_Note1!$F$13:$F$16,MATCH(E66,code_Note1!$E$13:$E$16,0)),INDEX(code_Note1!$F$16,1)),IF(B66&lt;code_Note1!$D$21,"No",IFERROR(VLOOKUP(C66,code_Note1!$D$3:$G$8,3,FALSE),""))))</f>
        <v>No</v>
      </c>
      <c r="P66" s="3" t="s">
        <v>832</v>
      </c>
    </row>
    <row r="67" spans="1:16" ht="19.5" customHeight="1">
      <c r="A67" s="2" t="s">
        <v>854</v>
      </c>
      <c r="B67" s="38">
        <v>45696</v>
      </c>
      <c r="C67" s="1">
        <v>3</v>
      </c>
      <c r="D67" s="1" t="s">
        <v>823</v>
      </c>
      <c r="E67" s="1" t="s">
        <v>12</v>
      </c>
      <c r="F67" s="8" t="s">
        <v>93</v>
      </c>
      <c r="G67" s="6">
        <v>20000</v>
      </c>
      <c r="H67" s="6"/>
      <c r="I67" s="6"/>
      <c r="J67" s="7"/>
      <c r="K67" s="73"/>
      <c r="L67" s="73"/>
      <c r="M67" s="73"/>
      <c r="N67" s="73"/>
      <c r="O67" s="3" t="str">
        <f>IF(C67="","",IF(C67=5,IFERROR(INDEX(code_Note1!$F$13:$F$16,MATCH(E67,code_Note1!$E$13:$E$16,0)),INDEX(code_Note1!$F$16,1)),IF(B67&lt;code_Note1!$D$21,"No",IFERROR(VLOOKUP(C67,code_Note1!$D$3:$G$8,3,FALSE),""))))</f>
        <v>No</v>
      </c>
      <c r="P67" s="3" t="s">
        <v>832</v>
      </c>
    </row>
    <row r="68" spans="1:16" ht="19.5" customHeight="1">
      <c r="A68" s="2" t="s">
        <v>854</v>
      </c>
      <c r="B68" s="38">
        <v>45696</v>
      </c>
      <c r="C68" s="1">
        <v>3</v>
      </c>
      <c r="D68" s="1" t="s">
        <v>823</v>
      </c>
      <c r="E68" s="1" t="s">
        <v>12</v>
      </c>
      <c r="F68" s="8" t="s">
        <v>12</v>
      </c>
      <c r="G68" s="6">
        <v>1000000</v>
      </c>
      <c r="H68" s="6"/>
      <c r="I68" s="6"/>
      <c r="J68" s="7"/>
      <c r="K68" s="73"/>
      <c r="L68" s="73"/>
      <c r="M68" s="73"/>
      <c r="N68" s="73"/>
      <c r="O68" s="3" t="str">
        <f>IF(C68="","",IF(C68=5,IFERROR(INDEX(code_Note1!$F$13:$F$16,MATCH(E68,code_Note1!$E$13:$E$16,0)),INDEX(code_Note1!$F$16,1)),IF(B68&lt;code_Note1!$D$21,"No",IFERROR(VLOOKUP(C68,code_Note1!$D$3:$G$8,3,FALSE),""))))</f>
        <v>No</v>
      </c>
      <c r="P68" s="3" t="s">
        <v>832</v>
      </c>
    </row>
    <row r="69" spans="1:16" ht="19.5" customHeight="1">
      <c r="A69" s="2" t="s">
        <v>854</v>
      </c>
      <c r="B69" s="38">
        <v>45697</v>
      </c>
      <c r="C69" s="1">
        <v>3</v>
      </c>
      <c r="D69" s="1" t="s">
        <v>823</v>
      </c>
      <c r="E69" s="1" t="s">
        <v>12</v>
      </c>
      <c r="F69" s="8" t="s">
        <v>94</v>
      </c>
      <c r="G69" s="6">
        <v>51000</v>
      </c>
      <c r="H69" s="6"/>
      <c r="I69" s="6"/>
      <c r="J69" s="7"/>
      <c r="K69" s="73"/>
      <c r="L69" s="73"/>
      <c r="M69" s="73"/>
      <c r="N69" s="73"/>
      <c r="O69" s="3" t="str">
        <f>IF(C69="","",IF(C69=5,IFERROR(INDEX(code_Note1!$F$13:$F$16,MATCH(E69,code_Note1!$E$13:$E$16,0)),INDEX(code_Note1!$F$16,1)),IF(B69&lt;code_Note1!$D$21,"No",IFERROR(VLOOKUP(C69,code_Note1!$D$3:$G$8,3,FALSE),""))))</f>
        <v>No</v>
      </c>
      <c r="P69" s="3" t="s">
        <v>832</v>
      </c>
    </row>
    <row r="70" spans="1:16" ht="19.5" customHeight="1">
      <c r="A70" s="2" t="s">
        <v>854</v>
      </c>
      <c r="B70" s="38">
        <v>45697</v>
      </c>
      <c r="C70" s="1">
        <v>3</v>
      </c>
      <c r="D70" s="1" t="s">
        <v>823</v>
      </c>
      <c r="E70" s="1" t="s">
        <v>12</v>
      </c>
      <c r="F70" s="8" t="s">
        <v>95</v>
      </c>
      <c r="G70" s="6">
        <v>75000</v>
      </c>
      <c r="H70" s="6"/>
      <c r="I70" s="6"/>
      <c r="J70" s="7"/>
      <c r="K70" s="73"/>
      <c r="L70" s="73"/>
      <c r="M70" s="73"/>
      <c r="N70" s="73"/>
      <c r="O70" s="3" t="str">
        <f>IF(C70="","",IF(C70=5,IFERROR(INDEX(code_Note1!$F$13:$F$16,MATCH(E70,code_Note1!$E$13:$E$16,0)),INDEX(code_Note1!$F$16,1)),IF(B70&lt;code_Note1!$D$21,"No",IFERROR(VLOOKUP(C70,code_Note1!$D$3:$G$8,3,FALSE),""))))</f>
        <v>No</v>
      </c>
      <c r="P70" s="3" t="s">
        <v>832</v>
      </c>
    </row>
    <row r="71" spans="1:16" ht="19.5" customHeight="1">
      <c r="A71" s="2" t="s">
        <v>854</v>
      </c>
      <c r="B71" s="38">
        <v>45697</v>
      </c>
      <c r="C71" s="1">
        <v>3</v>
      </c>
      <c r="D71" s="1" t="s">
        <v>823</v>
      </c>
      <c r="E71" s="1" t="s">
        <v>38</v>
      </c>
      <c r="F71" s="8" t="s">
        <v>96</v>
      </c>
      <c r="G71" s="6">
        <v>550000</v>
      </c>
      <c r="H71" s="6"/>
      <c r="I71" s="6"/>
      <c r="J71" s="7"/>
      <c r="K71" s="73"/>
      <c r="L71" s="73"/>
      <c r="M71" s="73"/>
      <c r="N71" s="73"/>
      <c r="O71" s="3" t="str">
        <f>IF(C71="","",IF(C71=5,IFERROR(INDEX(code_Note1!$F$13:$F$16,MATCH(E71,code_Note1!$E$13:$E$16,0)),INDEX(code_Note1!$F$16,1)),IF(B71&lt;code_Note1!$D$21,"No",IFERROR(VLOOKUP(C71,code_Note1!$D$3:$G$8,3,FALSE),""))))</f>
        <v>No</v>
      </c>
      <c r="P71" s="3" t="s">
        <v>832</v>
      </c>
    </row>
    <row r="72" spans="1:16" ht="19.5" customHeight="1">
      <c r="A72" s="2" t="s">
        <v>854</v>
      </c>
      <c r="B72" s="38">
        <v>45697</v>
      </c>
      <c r="C72" s="1">
        <v>2</v>
      </c>
      <c r="D72" s="1" t="s">
        <v>838</v>
      </c>
      <c r="E72" s="1" t="s">
        <v>21</v>
      </c>
      <c r="F72" s="8" t="s">
        <v>97</v>
      </c>
      <c r="G72" s="6">
        <v>3545000</v>
      </c>
      <c r="H72" s="6"/>
      <c r="I72" s="6"/>
      <c r="J72" s="7"/>
      <c r="K72" s="73"/>
      <c r="L72" s="73"/>
      <c r="M72" s="73"/>
      <c r="N72" s="73"/>
      <c r="O72" s="3" t="str">
        <f>IF(C72="","",IF(C72=5,IFERROR(INDEX(code_Note1!$F$13:$F$16,MATCH(E72,code_Note1!$E$13:$E$16,0)),INDEX(code_Note1!$F$16,1)),IF(B72&lt;code_Note1!$D$21,"No",IFERROR(VLOOKUP(C72,code_Note1!$D$3:$G$8,3,FALSE),""))))</f>
        <v>No</v>
      </c>
      <c r="P72" s="3" t="s">
        <v>831</v>
      </c>
    </row>
    <row r="73" spans="1:16" ht="19.5" customHeight="1">
      <c r="A73" s="2" t="s">
        <v>854</v>
      </c>
      <c r="B73" s="38">
        <v>45697</v>
      </c>
      <c r="C73" s="1">
        <v>2</v>
      </c>
      <c r="D73" s="1" t="s">
        <v>838</v>
      </c>
      <c r="E73" s="1" t="s">
        <v>21</v>
      </c>
      <c r="F73" s="8" t="s">
        <v>98</v>
      </c>
      <c r="G73" s="6">
        <v>2400000</v>
      </c>
      <c r="H73" s="6"/>
      <c r="I73" s="6"/>
      <c r="J73" s="7"/>
      <c r="K73" s="73"/>
      <c r="L73" s="73"/>
      <c r="M73" s="73"/>
      <c r="N73" s="73"/>
      <c r="O73" s="3" t="str">
        <f>IF(C73="","",IF(C73=5,IFERROR(INDEX(code_Note1!$F$13:$F$16,MATCH(E73,code_Note1!$E$13:$E$16,0)),INDEX(code_Note1!$F$16,1)),IF(B73&lt;code_Note1!$D$21,"No",IFERROR(VLOOKUP(C73,code_Note1!$D$3:$G$8,3,FALSE),""))))</f>
        <v>No</v>
      </c>
      <c r="P73" s="3" t="s">
        <v>831</v>
      </c>
    </row>
    <row r="74" spans="1:16" ht="19.5" customHeight="1">
      <c r="A74" s="2" t="s">
        <v>854</v>
      </c>
      <c r="B74" s="38">
        <v>45697</v>
      </c>
      <c r="C74" s="1">
        <v>3</v>
      </c>
      <c r="D74" s="1" t="s">
        <v>823</v>
      </c>
      <c r="E74" s="1" t="s">
        <v>12</v>
      </c>
      <c r="F74" s="8" t="s">
        <v>99</v>
      </c>
      <c r="G74" s="6">
        <v>30000</v>
      </c>
      <c r="H74" s="6"/>
      <c r="I74" s="6"/>
      <c r="J74" s="7"/>
      <c r="K74" s="73"/>
      <c r="L74" s="73"/>
      <c r="M74" s="73"/>
      <c r="N74" s="73"/>
      <c r="O74" s="3" t="str">
        <f>IF(C74="","",IF(C74=5,IFERROR(INDEX(code_Note1!$F$13:$F$16,MATCH(E74,code_Note1!$E$13:$E$16,0)),INDEX(code_Note1!$F$16,1)),IF(B74&lt;code_Note1!$D$21,"No",IFERROR(VLOOKUP(C74,code_Note1!$D$3:$G$8,3,FALSE),""))))</f>
        <v>No</v>
      </c>
      <c r="P74" s="3" t="s">
        <v>832</v>
      </c>
    </row>
    <row r="75" spans="1:16" ht="19.5" customHeight="1">
      <c r="A75" s="2" t="s">
        <v>854</v>
      </c>
      <c r="B75" s="38">
        <v>45697</v>
      </c>
      <c r="C75" s="1">
        <v>3</v>
      </c>
      <c r="D75" s="1" t="s">
        <v>823</v>
      </c>
      <c r="E75" s="1" t="s">
        <v>12</v>
      </c>
      <c r="F75" s="8" t="s">
        <v>100</v>
      </c>
      <c r="G75" s="6">
        <v>209000</v>
      </c>
      <c r="H75" s="6"/>
      <c r="I75" s="6"/>
      <c r="J75" s="7"/>
      <c r="K75" s="73"/>
      <c r="L75" s="73"/>
      <c r="M75" s="73"/>
      <c r="N75" s="73"/>
      <c r="O75" s="3" t="str">
        <f>IF(C75="","",IF(C75=5,IFERROR(INDEX(code_Note1!$F$13:$F$16,MATCH(E75,code_Note1!$E$13:$E$16,0)),INDEX(code_Note1!$F$16,1)),IF(B75&lt;code_Note1!$D$21,"No",IFERROR(VLOOKUP(C75,code_Note1!$D$3:$G$8,3,FALSE),""))))</f>
        <v>No</v>
      </c>
      <c r="P75" s="3" t="s">
        <v>832</v>
      </c>
    </row>
    <row r="76" spans="1:16" ht="19.5" customHeight="1">
      <c r="A76" s="2" t="s">
        <v>854</v>
      </c>
      <c r="B76" s="38">
        <v>45697</v>
      </c>
      <c r="C76" s="1">
        <v>3</v>
      </c>
      <c r="D76" s="1" t="s">
        <v>823</v>
      </c>
      <c r="E76" s="1" t="s">
        <v>12</v>
      </c>
      <c r="F76" s="8" t="s">
        <v>101</v>
      </c>
      <c r="G76" s="6">
        <v>42000</v>
      </c>
      <c r="H76" s="6"/>
      <c r="I76" s="6"/>
      <c r="J76" s="7"/>
      <c r="K76" s="73"/>
      <c r="L76" s="73"/>
      <c r="M76" s="73"/>
      <c r="N76" s="73"/>
      <c r="O76" s="3" t="str">
        <f>IF(C76="","",IF(C76=5,IFERROR(INDEX(code_Note1!$F$13:$F$16,MATCH(E76,code_Note1!$E$13:$E$16,0)),INDEX(code_Note1!$F$16,1)),IF(B76&lt;code_Note1!$D$21,"No",IFERROR(VLOOKUP(C76,code_Note1!$D$3:$G$8,3,FALSE),""))))</f>
        <v>No</v>
      </c>
      <c r="P76" s="3" t="s">
        <v>832</v>
      </c>
    </row>
    <row r="77" spans="1:16" ht="19.5" customHeight="1">
      <c r="A77" s="2" t="s">
        <v>854</v>
      </c>
      <c r="B77" s="38">
        <v>45697</v>
      </c>
      <c r="C77" s="1">
        <v>1</v>
      </c>
      <c r="D77" s="1" t="s">
        <v>824</v>
      </c>
      <c r="E77" s="1" t="s">
        <v>103</v>
      </c>
      <c r="F77" s="8" t="s">
        <v>102</v>
      </c>
      <c r="G77" s="6">
        <v>500000</v>
      </c>
      <c r="H77" s="6"/>
      <c r="I77" s="6"/>
      <c r="J77" s="7"/>
      <c r="K77" s="73"/>
      <c r="L77" s="73"/>
      <c r="M77" s="73"/>
      <c r="N77" s="73"/>
      <c r="O77" s="3" t="str">
        <f>IF(C77="","",IF(C77=5,IFERROR(INDEX(code_Note1!$F$13:$F$16,MATCH(E77,code_Note1!$E$13:$E$16,0)),INDEX(code_Note1!$F$16,1)),IF(B77&lt;code_Note1!$D$21,"No",IFERROR(VLOOKUP(C77,code_Note1!$D$3:$G$8,3,FALSE),""))))</f>
        <v>No</v>
      </c>
      <c r="P77" s="3" t="s">
        <v>832</v>
      </c>
    </row>
    <row r="78" spans="1:16" ht="19.5" customHeight="1">
      <c r="A78" s="2" t="s">
        <v>854</v>
      </c>
      <c r="B78" s="38">
        <v>45697</v>
      </c>
      <c r="C78" s="1">
        <v>3</v>
      </c>
      <c r="D78" s="1" t="s">
        <v>823</v>
      </c>
      <c r="E78" s="1" t="s">
        <v>12</v>
      </c>
      <c r="F78" s="8" t="s">
        <v>104</v>
      </c>
      <c r="G78" s="6">
        <v>170000</v>
      </c>
      <c r="H78" s="6"/>
      <c r="I78" s="6"/>
      <c r="J78" s="7"/>
      <c r="K78" s="73"/>
      <c r="L78" s="73"/>
      <c r="M78" s="73"/>
      <c r="N78" s="73"/>
      <c r="O78" s="3" t="str">
        <f>IF(C78="","",IF(C78=5,IFERROR(INDEX(code_Note1!$F$13:$F$16,MATCH(E78,code_Note1!$E$13:$E$16,0)),INDEX(code_Note1!$F$16,1)),IF(B78&lt;code_Note1!$D$21,"No",IFERROR(VLOOKUP(C78,code_Note1!$D$3:$G$8,3,FALSE),""))))</f>
        <v>No</v>
      </c>
      <c r="P78" s="3" t="s">
        <v>832</v>
      </c>
    </row>
    <row r="79" spans="1:16" ht="19.5" customHeight="1">
      <c r="A79" s="2" t="s">
        <v>854</v>
      </c>
      <c r="B79" s="38">
        <v>45697</v>
      </c>
      <c r="C79" s="1">
        <v>3</v>
      </c>
      <c r="D79" s="1" t="s">
        <v>823</v>
      </c>
      <c r="E79" s="1" t="s">
        <v>12</v>
      </c>
      <c r="F79" s="8" t="s">
        <v>2</v>
      </c>
      <c r="G79" s="6">
        <v>45000</v>
      </c>
      <c r="H79" s="6"/>
      <c r="I79" s="6"/>
      <c r="J79" s="7"/>
      <c r="K79" s="73"/>
      <c r="L79" s="73"/>
      <c r="M79" s="73"/>
      <c r="N79" s="73"/>
      <c r="O79" s="3" t="str">
        <f>IF(C79="","",IF(C79=5,IFERROR(INDEX(code_Note1!$F$13:$F$16,MATCH(E79,code_Note1!$E$13:$E$16,0)),INDEX(code_Note1!$F$16,1)),IF(B79&lt;code_Note1!$D$21,"No",IFERROR(VLOOKUP(C79,code_Note1!$D$3:$G$8,3,FALSE),""))))</f>
        <v>No</v>
      </c>
      <c r="P79" s="3" t="s">
        <v>832</v>
      </c>
    </row>
    <row r="80" spans="1:16" ht="19.5" customHeight="1">
      <c r="A80" s="2" t="s">
        <v>854</v>
      </c>
      <c r="B80" s="38">
        <v>45698</v>
      </c>
      <c r="C80" s="1">
        <v>2</v>
      </c>
      <c r="D80" s="1" t="s">
        <v>838</v>
      </c>
      <c r="E80" s="1" t="s">
        <v>21</v>
      </c>
      <c r="F80" s="8" t="s">
        <v>105</v>
      </c>
      <c r="G80" s="6">
        <v>1690000</v>
      </c>
      <c r="H80" s="6"/>
      <c r="I80" s="6"/>
      <c r="J80" s="7"/>
      <c r="K80" s="73"/>
      <c r="L80" s="73"/>
      <c r="M80" s="73"/>
      <c r="N80" s="73"/>
      <c r="O80" s="3" t="str">
        <f>IF(C80="","",IF(C80=5,IFERROR(INDEX(code_Note1!$F$13:$F$16,MATCH(E80,code_Note1!$E$13:$E$16,0)),INDEX(code_Note1!$F$16,1)),IF(B80&lt;code_Note1!$D$21,"No",IFERROR(VLOOKUP(C80,code_Note1!$D$3:$G$8,3,FALSE),""))))</f>
        <v>No</v>
      </c>
      <c r="P80" s="3" t="s">
        <v>831</v>
      </c>
    </row>
    <row r="81" spans="1:16" ht="19.5" customHeight="1">
      <c r="A81" s="2" t="s">
        <v>854</v>
      </c>
      <c r="B81" s="38">
        <v>45698</v>
      </c>
      <c r="C81" s="1">
        <v>2</v>
      </c>
      <c r="D81" s="1" t="s">
        <v>838</v>
      </c>
      <c r="E81" s="1" t="s">
        <v>46</v>
      </c>
      <c r="F81" s="8" t="s">
        <v>106</v>
      </c>
      <c r="G81" s="6">
        <v>6900000</v>
      </c>
      <c r="H81" s="6"/>
      <c r="I81" s="6"/>
      <c r="J81" s="7"/>
      <c r="K81" s="73"/>
      <c r="L81" s="73"/>
      <c r="M81" s="73"/>
      <c r="N81" s="73"/>
      <c r="O81" s="3" t="str">
        <f>IF(C81="","",IF(C81=5,IFERROR(INDEX(code_Note1!$F$13:$F$16,MATCH(E81,code_Note1!$E$13:$E$16,0)),INDEX(code_Note1!$F$16,1)),IF(B81&lt;code_Note1!$D$21,"No",IFERROR(VLOOKUP(C81,code_Note1!$D$3:$G$8,3,FALSE),""))))</f>
        <v>No</v>
      </c>
      <c r="P81" s="3" t="s">
        <v>831</v>
      </c>
    </row>
    <row r="82" spans="1:16" ht="19.5" customHeight="1">
      <c r="A82" s="2" t="s">
        <v>854</v>
      </c>
      <c r="B82" s="38">
        <v>45700</v>
      </c>
      <c r="C82" s="1">
        <v>2</v>
      </c>
      <c r="D82" s="1" t="s">
        <v>838</v>
      </c>
      <c r="E82" s="1" t="s">
        <v>30</v>
      </c>
      <c r="F82" s="8" t="s">
        <v>107</v>
      </c>
      <c r="G82" s="6">
        <v>1500000</v>
      </c>
      <c r="H82" s="6"/>
      <c r="I82" s="6"/>
      <c r="J82" s="7"/>
      <c r="K82" s="73"/>
      <c r="L82" s="73"/>
      <c r="M82" s="73"/>
      <c r="N82" s="73"/>
      <c r="O82" s="3" t="str">
        <f>IF(C82="","",IF(C82=5,IFERROR(INDEX(code_Note1!$F$13:$F$16,MATCH(E82,code_Note1!$E$13:$E$16,0)),INDEX(code_Note1!$F$16,1)),IF(B82&lt;code_Note1!$D$21,"No",IFERROR(VLOOKUP(C82,code_Note1!$D$3:$G$8,3,FALSE),""))))</f>
        <v>No</v>
      </c>
      <c r="P82" s="3" t="s">
        <v>831</v>
      </c>
    </row>
    <row r="83" spans="1:16" ht="19.5" customHeight="1">
      <c r="A83" s="2" t="s">
        <v>854</v>
      </c>
      <c r="B83" s="38">
        <v>45700</v>
      </c>
      <c r="C83" s="1">
        <v>2</v>
      </c>
      <c r="D83" s="1" t="s">
        <v>838</v>
      </c>
      <c r="E83" s="1" t="s">
        <v>109</v>
      </c>
      <c r="F83" s="8" t="s">
        <v>108</v>
      </c>
      <c r="G83" s="6">
        <v>1500000</v>
      </c>
      <c r="H83" s="6"/>
      <c r="I83" s="6"/>
      <c r="J83" s="7"/>
      <c r="K83" s="73"/>
      <c r="L83" s="73"/>
      <c r="M83" s="73"/>
      <c r="N83" s="73"/>
      <c r="O83" s="3" t="str">
        <f>IF(C83="","",IF(C83=5,IFERROR(INDEX(code_Note1!$F$13:$F$16,MATCH(E83,code_Note1!$E$13:$E$16,0)),INDEX(code_Note1!$F$16,1)),IF(B83&lt;code_Note1!$D$21,"No",IFERROR(VLOOKUP(C83,code_Note1!$D$3:$G$8,3,FALSE),""))))</f>
        <v>No</v>
      </c>
      <c r="P83" s="3" t="s">
        <v>831</v>
      </c>
    </row>
    <row r="84" spans="1:16" ht="19.5" customHeight="1">
      <c r="A84" s="2" t="s">
        <v>854</v>
      </c>
      <c r="B84" s="38">
        <v>45701</v>
      </c>
      <c r="C84" s="1">
        <v>2</v>
      </c>
      <c r="D84" s="1" t="s">
        <v>838</v>
      </c>
      <c r="E84" s="1" t="s">
        <v>111</v>
      </c>
      <c r="F84" s="8" t="s">
        <v>110</v>
      </c>
      <c r="G84" s="6">
        <v>6000000</v>
      </c>
      <c r="H84" s="6"/>
      <c r="I84" s="6"/>
      <c r="J84" s="7"/>
      <c r="K84" s="73"/>
      <c r="L84" s="73"/>
      <c r="M84" s="73"/>
      <c r="N84" s="73"/>
      <c r="O84" s="3" t="str">
        <f>IF(C84="","",IF(C84=5,IFERROR(INDEX(code_Note1!$F$13:$F$16,MATCH(E84,code_Note1!$E$13:$E$16,0)),INDEX(code_Note1!$F$16,1)),IF(B84&lt;code_Note1!$D$21,"No",IFERROR(VLOOKUP(C84,code_Note1!$D$3:$G$8,3,FALSE),""))))</f>
        <v>No</v>
      </c>
      <c r="P84" s="3" t="s">
        <v>831</v>
      </c>
    </row>
    <row r="85" spans="1:16" ht="19.5" customHeight="1">
      <c r="A85" s="2" t="s">
        <v>854</v>
      </c>
      <c r="B85" s="38">
        <v>45703</v>
      </c>
      <c r="C85" s="1">
        <v>2</v>
      </c>
      <c r="D85" s="1" t="s">
        <v>838</v>
      </c>
      <c r="E85" s="1" t="s">
        <v>82</v>
      </c>
      <c r="F85" s="8" t="s">
        <v>112</v>
      </c>
      <c r="G85" s="6">
        <v>455000</v>
      </c>
      <c r="H85" s="6"/>
      <c r="I85" s="6"/>
      <c r="J85" s="7"/>
      <c r="K85" s="73"/>
      <c r="L85" s="73"/>
      <c r="M85" s="73"/>
      <c r="N85" s="73"/>
      <c r="O85" s="3" t="str">
        <f>IF(C85="","",IF(C85=5,IFERROR(INDEX(code_Note1!$F$13:$F$16,MATCH(E85,code_Note1!$E$13:$E$16,0)),INDEX(code_Note1!$F$16,1)),IF(B85&lt;code_Note1!$D$21,"No",IFERROR(VLOOKUP(C85,code_Note1!$D$3:$G$8,3,FALSE),""))))</f>
        <v>No</v>
      </c>
      <c r="P85" s="3" t="s">
        <v>831</v>
      </c>
    </row>
    <row r="86" spans="1:16" ht="19.5" customHeight="1">
      <c r="A86" s="2" t="s">
        <v>854</v>
      </c>
      <c r="B86" s="38">
        <v>45703</v>
      </c>
      <c r="C86" s="1">
        <v>2</v>
      </c>
      <c r="D86" s="1" t="s">
        <v>838</v>
      </c>
      <c r="E86" s="1" t="s">
        <v>21</v>
      </c>
      <c r="F86" s="8" t="s">
        <v>113</v>
      </c>
      <c r="G86" s="6">
        <v>736000</v>
      </c>
      <c r="H86" s="6"/>
      <c r="I86" s="6"/>
      <c r="J86" s="7"/>
      <c r="K86" s="73"/>
      <c r="L86" s="73"/>
      <c r="M86" s="73"/>
      <c r="N86" s="73"/>
      <c r="O86" s="3" t="str">
        <f>IF(C86="","",IF(C86=5,IFERROR(INDEX(code_Note1!$F$13:$F$16,MATCH(E86,code_Note1!$E$13:$E$16,0)),INDEX(code_Note1!$F$16,1)),IF(B86&lt;code_Note1!$D$21,"No",IFERROR(VLOOKUP(C86,code_Note1!$D$3:$G$8,3,FALSE),""))))</f>
        <v>No</v>
      </c>
      <c r="P86" s="3" t="s">
        <v>831</v>
      </c>
    </row>
    <row r="87" spans="1:16" ht="19.5" customHeight="1">
      <c r="A87" s="2" t="s">
        <v>854</v>
      </c>
      <c r="B87" s="38">
        <v>45703</v>
      </c>
      <c r="C87" s="1">
        <v>1</v>
      </c>
      <c r="D87" s="1" t="s">
        <v>824</v>
      </c>
      <c r="E87" s="1" t="s">
        <v>54</v>
      </c>
      <c r="F87" s="8" t="s">
        <v>114</v>
      </c>
      <c r="G87" s="6">
        <v>1750000</v>
      </c>
      <c r="H87" s="6"/>
      <c r="I87" s="6"/>
      <c r="J87" s="7"/>
      <c r="K87" s="73"/>
      <c r="L87" s="73"/>
      <c r="M87" s="73"/>
      <c r="N87" s="73"/>
      <c r="O87" s="3" t="str">
        <f>IF(C87="","",IF(C87=5,IFERROR(INDEX(code_Note1!$F$13:$F$16,MATCH(E87,code_Note1!$E$13:$E$16,0)),INDEX(code_Note1!$F$16,1)),IF(B87&lt;code_Note1!$D$21,"No",IFERROR(VLOOKUP(C87,code_Note1!$D$3:$G$8,3,FALSE),""))))</f>
        <v>No</v>
      </c>
      <c r="P87" s="3" t="s">
        <v>832</v>
      </c>
    </row>
    <row r="88" spans="1:16" ht="19.5" customHeight="1">
      <c r="A88" s="2" t="s">
        <v>854</v>
      </c>
      <c r="B88" s="38">
        <v>45703</v>
      </c>
      <c r="C88" s="1">
        <v>1</v>
      </c>
      <c r="D88" s="1" t="s">
        <v>824</v>
      </c>
      <c r="E88" s="1" t="s">
        <v>54</v>
      </c>
      <c r="F88" s="8" t="s">
        <v>115</v>
      </c>
      <c r="G88" s="6">
        <v>50000</v>
      </c>
      <c r="H88" s="6"/>
      <c r="I88" s="6"/>
      <c r="J88" s="7"/>
      <c r="K88" s="73"/>
      <c r="L88" s="73"/>
      <c r="M88" s="73"/>
      <c r="N88" s="73"/>
      <c r="O88" s="3" t="str">
        <f>IF(C88="","",IF(C88=5,IFERROR(INDEX(code_Note1!$F$13:$F$16,MATCH(E88,code_Note1!$E$13:$E$16,0)),INDEX(code_Note1!$F$16,1)),IF(B88&lt;code_Note1!$D$21,"No",IFERROR(VLOOKUP(C88,code_Note1!$D$3:$G$8,3,FALSE),""))))</f>
        <v>No</v>
      </c>
      <c r="P88" s="3" t="s">
        <v>832</v>
      </c>
    </row>
    <row r="89" spans="1:16" ht="19.5" customHeight="1">
      <c r="A89" s="2" t="s">
        <v>854</v>
      </c>
      <c r="B89" s="38">
        <v>45703</v>
      </c>
      <c r="C89" s="1">
        <v>2</v>
      </c>
      <c r="D89" s="1" t="s">
        <v>838</v>
      </c>
      <c r="E89" s="1" t="s">
        <v>51</v>
      </c>
      <c r="F89" s="8" t="s">
        <v>116</v>
      </c>
      <c r="G89" s="6">
        <v>1241000</v>
      </c>
      <c r="H89" s="6"/>
      <c r="I89" s="6"/>
      <c r="J89" s="7"/>
      <c r="K89" s="73"/>
      <c r="L89" s="73"/>
      <c r="M89" s="73"/>
      <c r="N89" s="73"/>
      <c r="O89" s="3" t="str">
        <f>IF(C89="","",IF(C89=5,IFERROR(INDEX(code_Note1!$F$13:$F$16,MATCH(E89,code_Note1!$E$13:$E$16,0)),INDEX(code_Note1!$F$16,1)),IF(B89&lt;code_Note1!$D$21,"No",IFERROR(VLOOKUP(C89,code_Note1!$D$3:$G$8,3,FALSE),""))))</f>
        <v>No</v>
      </c>
      <c r="P89" s="3" t="s">
        <v>831</v>
      </c>
    </row>
    <row r="90" spans="1:16" ht="19.5" customHeight="1">
      <c r="A90" s="2" t="s">
        <v>854</v>
      </c>
      <c r="B90" s="38">
        <v>45703</v>
      </c>
      <c r="C90" s="1">
        <v>2</v>
      </c>
      <c r="D90" s="1" t="s">
        <v>838</v>
      </c>
      <c r="E90" s="1" t="s">
        <v>111</v>
      </c>
      <c r="F90" s="8" t="s">
        <v>117</v>
      </c>
      <c r="G90" s="6">
        <v>0</v>
      </c>
      <c r="H90" s="6">
        <v>28000</v>
      </c>
      <c r="I90" s="6"/>
      <c r="J90" s="7"/>
      <c r="K90" s="73"/>
      <c r="L90" s="73"/>
      <c r="M90" s="73"/>
      <c r="N90" s="73"/>
      <c r="O90" s="3" t="str">
        <f>IF(C90="","",IF(C90=5,IFERROR(INDEX(code_Note1!$F$13:$F$16,MATCH(E90,code_Note1!$E$13:$E$16,0)),INDEX(code_Note1!$F$16,1)),IF(B90&lt;code_Note1!$D$21,"No",IFERROR(VLOOKUP(C90,code_Note1!$D$3:$G$8,3,FALSE),""))))</f>
        <v>No</v>
      </c>
      <c r="P90" s="3" t="s">
        <v>831</v>
      </c>
    </row>
    <row r="91" spans="1:16" ht="19.5" customHeight="1">
      <c r="A91" s="2" t="s">
        <v>854</v>
      </c>
      <c r="B91" s="38">
        <v>45703</v>
      </c>
      <c r="C91" s="1">
        <v>3</v>
      </c>
      <c r="D91" s="1" t="s">
        <v>823</v>
      </c>
      <c r="E91" s="1" t="s">
        <v>12</v>
      </c>
      <c r="F91" s="8" t="s">
        <v>118</v>
      </c>
      <c r="G91" s="6">
        <v>310000</v>
      </c>
      <c r="H91" s="6"/>
      <c r="I91" s="6"/>
      <c r="J91" s="7"/>
      <c r="K91" s="73"/>
      <c r="L91" s="73"/>
      <c r="M91" s="73"/>
      <c r="N91" s="73"/>
      <c r="O91" s="3" t="str">
        <f>IF(C91="","",IF(C91=5,IFERROR(INDEX(code_Note1!$F$13:$F$16,MATCH(E91,code_Note1!$E$13:$E$16,0)),INDEX(code_Note1!$F$16,1)),IF(B91&lt;code_Note1!$D$21,"No",IFERROR(VLOOKUP(C91,code_Note1!$D$3:$G$8,3,FALSE),""))))</f>
        <v>No</v>
      </c>
      <c r="P91" s="3" t="s">
        <v>832</v>
      </c>
    </row>
    <row r="92" spans="1:16" ht="19.5" customHeight="1">
      <c r="A92" s="2" t="s">
        <v>854</v>
      </c>
      <c r="B92" s="38">
        <v>45703</v>
      </c>
      <c r="C92" s="1">
        <v>2</v>
      </c>
      <c r="D92" s="1" t="s">
        <v>838</v>
      </c>
      <c r="E92" s="1" t="s">
        <v>25</v>
      </c>
      <c r="F92" s="8" t="s">
        <v>119</v>
      </c>
      <c r="G92" s="6">
        <v>11900000</v>
      </c>
      <c r="H92" s="6"/>
      <c r="I92" s="6"/>
      <c r="J92" s="7"/>
      <c r="K92" s="73"/>
      <c r="L92" s="73"/>
      <c r="M92" s="73"/>
      <c r="N92" s="73"/>
      <c r="O92" s="3" t="str">
        <f>IF(C92="","",IF(C92=5,IFERROR(INDEX(code_Note1!$F$13:$F$16,MATCH(E92,code_Note1!$E$13:$E$16,0)),INDEX(code_Note1!$F$16,1)),IF(B92&lt;code_Note1!$D$21,"No",IFERROR(VLOOKUP(C92,code_Note1!$D$3:$G$8,3,FALSE),""))))</f>
        <v>No</v>
      </c>
      <c r="P92" s="3" t="s">
        <v>831</v>
      </c>
    </row>
    <row r="93" spans="1:16" ht="19.5" customHeight="1">
      <c r="A93" s="2" t="s">
        <v>854</v>
      </c>
      <c r="B93" s="38">
        <v>45704</v>
      </c>
      <c r="C93" s="1">
        <v>2</v>
      </c>
      <c r="D93" s="1" t="s">
        <v>838</v>
      </c>
      <c r="E93" s="1" t="s">
        <v>21</v>
      </c>
      <c r="F93" s="8" t="s">
        <v>120</v>
      </c>
      <c r="G93" s="6">
        <v>40000</v>
      </c>
      <c r="H93" s="6"/>
      <c r="I93" s="6"/>
      <c r="J93" s="7"/>
      <c r="K93" s="73"/>
      <c r="L93" s="73"/>
      <c r="M93" s="73"/>
      <c r="N93" s="73"/>
      <c r="O93" s="3" t="str">
        <f>IF(C93="","",IF(C93=5,IFERROR(INDEX(code_Note1!$F$13:$F$16,MATCH(E93,code_Note1!$E$13:$E$16,0)),INDEX(code_Note1!$F$16,1)),IF(B93&lt;code_Note1!$D$21,"No",IFERROR(VLOOKUP(C93,code_Note1!$D$3:$G$8,3,FALSE),""))))</f>
        <v>No</v>
      </c>
      <c r="P93" s="3" t="s">
        <v>831</v>
      </c>
    </row>
    <row r="94" spans="1:16" ht="19.5" customHeight="1">
      <c r="A94" s="2" t="s">
        <v>854</v>
      </c>
      <c r="B94" s="38">
        <v>45704</v>
      </c>
      <c r="C94" s="1">
        <v>3</v>
      </c>
      <c r="D94" s="1" t="s">
        <v>823</v>
      </c>
      <c r="E94" s="1" t="s">
        <v>12</v>
      </c>
      <c r="F94" s="8" t="s">
        <v>121</v>
      </c>
      <c r="G94" s="6">
        <v>60000</v>
      </c>
      <c r="H94" s="6"/>
      <c r="I94" s="6"/>
      <c r="J94" s="7"/>
      <c r="K94" s="73"/>
      <c r="L94" s="73"/>
      <c r="M94" s="73"/>
      <c r="N94" s="73"/>
      <c r="O94" s="3" t="str">
        <f>IF(C94="","",IF(C94=5,IFERROR(INDEX(code_Note1!$F$13:$F$16,MATCH(E94,code_Note1!$E$13:$E$16,0)),INDEX(code_Note1!$F$16,1)),IF(B94&lt;code_Note1!$D$21,"No",IFERROR(VLOOKUP(C94,code_Note1!$D$3:$G$8,3,FALSE),""))))</f>
        <v>No</v>
      </c>
      <c r="P94" s="3" t="s">
        <v>832</v>
      </c>
    </row>
    <row r="95" spans="1:16" ht="19.5" customHeight="1">
      <c r="A95" s="2" t="s">
        <v>854</v>
      </c>
      <c r="B95" s="38">
        <v>45704</v>
      </c>
      <c r="C95" s="1">
        <v>2</v>
      </c>
      <c r="D95" s="1" t="s">
        <v>838</v>
      </c>
      <c r="E95" s="1" t="s">
        <v>51</v>
      </c>
      <c r="F95" s="8" t="s">
        <v>122</v>
      </c>
      <c r="G95" s="6">
        <v>445000</v>
      </c>
      <c r="H95" s="6"/>
      <c r="I95" s="6"/>
      <c r="J95" s="7"/>
      <c r="K95" s="73"/>
      <c r="L95" s="73"/>
      <c r="M95" s="73"/>
      <c r="N95" s="73"/>
      <c r="O95" s="3" t="str">
        <f>IF(C95="","",IF(C95=5,IFERROR(INDEX(code_Note1!$F$13:$F$16,MATCH(E95,code_Note1!$E$13:$E$16,0)),INDEX(code_Note1!$F$16,1)),IF(B95&lt;code_Note1!$D$21,"No",IFERROR(VLOOKUP(C95,code_Note1!$D$3:$G$8,3,FALSE),""))))</f>
        <v>No</v>
      </c>
      <c r="P95" s="3" t="s">
        <v>831</v>
      </c>
    </row>
    <row r="96" spans="1:16" ht="19.5" customHeight="1">
      <c r="A96" s="2" t="s">
        <v>854</v>
      </c>
      <c r="B96" s="38">
        <v>45704</v>
      </c>
      <c r="C96" s="1">
        <v>2</v>
      </c>
      <c r="D96" s="1" t="s">
        <v>838</v>
      </c>
      <c r="E96" s="1" t="s">
        <v>51</v>
      </c>
      <c r="F96" s="8" t="s">
        <v>122</v>
      </c>
      <c r="G96" s="6">
        <v>120000</v>
      </c>
      <c r="H96" s="6"/>
      <c r="I96" s="6"/>
      <c r="J96" s="7"/>
      <c r="K96" s="73"/>
      <c r="L96" s="73"/>
      <c r="M96" s="73"/>
      <c r="N96" s="73"/>
      <c r="O96" s="3" t="str">
        <f>IF(C96="","",IF(C96=5,IFERROR(INDEX(code_Note1!$F$13:$F$16,MATCH(E96,code_Note1!$E$13:$E$16,0)),INDEX(code_Note1!$F$16,1)),IF(B96&lt;code_Note1!$D$21,"No",IFERROR(VLOOKUP(C96,code_Note1!$D$3:$G$8,3,FALSE),""))))</f>
        <v>No</v>
      </c>
      <c r="P96" s="3" t="s">
        <v>831</v>
      </c>
    </row>
    <row r="97" spans="1:16" ht="19.5" customHeight="1">
      <c r="A97" s="2" t="s">
        <v>854</v>
      </c>
      <c r="B97" s="38">
        <v>45704</v>
      </c>
      <c r="C97" s="1">
        <v>3</v>
      </c>
      <c r="D97" s="1" t="s">
        <v>823</v>
      </c>
      <c r="E97" s="1" t="s">
        <v>12</v>
      </c>
      <c r="F97" s="8" t="s">
        <v>92</v>
      </c>
      <c r="G97" s="6">
        <v>285000</v>
      </c>
      <c r="H97" s="6"/>
      <c r="I97" s="6"/>
      <c r="J97" s="7"/>
      <c r="K97" s="73"/>
      <c r="L97" s="73"/>
      <c r="M97" s="73"/>
      <c r="N97" s="73"/>
      <c r="O97" s="3" t="str">
        <f>IF(C97="","",IF(C97=5,IFERROR(INDEX(code_Note1!$F$13:$F$16,MATCH(E97,code_Note1!$E$13:$E$16,0)),INDEX(code_Note1!$F$16,1)),IF(B97&lt;code_Note1!$D$21,"No",IFERROR(VLOOKUP(C97,code_Note1!$D$3:$G$8,3,FALSE),""))))</f>
        <v>No</v>
      </c>
      <c r="P97" s="3" t="s">
        <v>832</v>
      </c>
    </row>
    <row r="98" spans="1:16" ht="19.5" customHeight="1">
      <c r="A98" s="2" t="s">
        <v>854</v>
      </c>
      <c r="B98" s="38">
        <v>45704</v>
      </c>
      <c r="C98" s="1">
        <v>3</v>
      </c>
      <c r="D98" s="1" t="s">
        <v>823</v>
      </c>
      <c r="E98" s="1" t="s">
        <v>12</v>
      </c>
      <c r="F98" s="8" t="s">
        <v>123</v>
      </c>
      <c r="G98" s="6">
        <v>29000</v>
      </c>
      <c r="H98" s="6"/>
      <c r="I98" s="6"/>
      <c r="J98" s="7"/>
      <c r="K98" s="73"/>
      <c r="L98" s="73"/>
      <c r="M98" s="73"/>
      <c r="N98" s="73"/>
      <c r="O98" s="3" t="str">
        <f>IF(C98="","",IF(C98=5,IFERROR(INDEX(code_Note1!$F$13:$F$16,MATCH(E98,code_Note1!$E$13:$E$16,0)),INDEX(code_Note1!$F$16,1)),IF(B98&lt;code_Note1!$D$21,"No",IFERROR(VLOOKUP(C98,code_Note1!$D$3:$G$8,3,FALSE),""))))</f>
        <v>No</v>
      </c>
      <c r="P98" s="3" t="s">
        <v>832</v>
      </c>
    </row>
    <row r="99" spans="1:16" ht="19.5" customHeight="1">
      <c r="A99" s="2" t="s">
        <v>854</v>
      </c>
      <c r="B99" s="38">
        <v>45704</v>
      </c>
      <c r="C99" s="1">
        <v>2</v>
      </c>
      <c r="D99" s="1" t="s">
        <v>838</v>
      </c>
      <c r="E99" s="1" t="s">
        <v>46</v>
      </c>
      <c r="F99" s="8" t="s">
        <v>124</v>
      </c>
      <c r="G99" s="6">
        <v>1500000</v>
      </c>
      <c r="H99" s="6"/>
      <c r="I99" s="6"/>
      <c r="J99" s="7"/>
      <c r="K99" s="73"/>
      <c r="L99" s="73"/>
      <c r="M99" s="73"/>
      <c r="N99" s="73"/>
      <c r="O99" s="3" t="str">
        <f>IF(C99="","",IF(C99=5,IFERROR(INDEX(code_Note1!$F$13:$F$16,MATCH(E99,code_Note1!$E$13:$E$16,0)),INDEX(code_Note1!$F$16,1)),IF(B99&lt;code_Note1!$D$21,"No",IFERROR(VLOOKUP(C99,code_Note1!$D$3:$G$8,3,FALSE),""))))</f>
        <v>No</v>
      </c>
      <c r="P99" s="3" t="s">
        <v>831</v>
      </c>
    </row>
    <row r="100" spans="1:16" ht="19.5" customHeight="1">
      <c r="A100" s="2" t="s">
        <v>854</v>
      </c>
      <c r="B100" s="38">
        <v>45704</v>
      </c>
      <c r="C100" s="1">
        <v>3</v>
      </c>
      <c r="D100" s="1" t="s">
        <v>823</v>
      </c>
      <c r="E100" s="1" t="s">
        <v>12</v>
      </c>
      <c r="F100" s="8" t="s">
        <v>125</v>
      </c>
      <c r="G100" s="6">
        <v>400000</v>
      </c>
      <c r="H100" s="6"/>
      <c r="I100" s="6"/>
      <c r="J100" s="7"/>
      <c r="K100" s="73"/>
      <c r="L100" s="73"/>
      <c r="M100" s="73"/>
      <c r="N100" s="73"/>
      <c r="O100" s="3" t="str">
        <f>IF(C100="","",IF(C100=5,IFERROR(INDEX(code_Note1!$F$13:$F$16,MATCH(E100,code_Note1!$E$13:$E$16,0)),INDEX(code_Note1!$F$16,1)),IF(B100&lt;code_Note1!$D$21,"No",IFERROR(VLOOKUP(C100,code_Note1!$D$3:$G$8,3,FALSE),""))))</f>
        <v>No</v>
      </c>
      <c r="P100" s="3" t="s">
        <v>832</v>
      </c>
    </row>
    <row r="101" spans="1:16" ht="19.5" customHeight="1">
      <c r="A101" s="2" t="s">
        <v>854</v>
      </c>
      <c r="B101" s="38">
        <v>45704</v>
      </c>
      <c r="C101" s="1" t="s">
        <v>844</v>
      </c>
      <c r="D101" s="1" t="s">
        <v>826</v>
      </c>
      <c r="E101" s="1" t="s">
        <v>127</v>
      </c>
      <c r="F101" s="8" t="s">
        <v>126</v>
      </c>
      <c r="G101" s="6">
        <v>237000</v>
      </c>
      <c r="H101" s="6"/>
      <c r="I101" s="6"/>
      <c r="J101" s="7"/>
      <c r="K101" s="73"/>
      <c r="L101" s="73"/>
      <c r="M101" s="73"/>
      <c r="N101" s="73"/>
      <c r="O101" s="3" t="str">
        <f>IF(C101="","",IF(C101=5,IFERROR(INDEX(code_Note1!$F$13:$F$16,MATCH(E101,code_Note1!$E$13:$E$16,0)),INDEX(code_Note1!$F$16,1)),IF(B101&lt;code_Note1!$D$21,"No",IFERROR(VLOOKUP(C101,code_Note1!$D$3:$G$8,3,FALSE),""))))</f>
        <v>No</v>
      </c>
      <c r="P101" s="3" t="s">
        <v>833</v>
      </c>
    </row>
    <row r="102" spans="1:16" ht="19.5" customHeight="1">
      <c r="A102" s="2" t="s">
        <v>854</v>
      </c>
      <c r="B102" s="38">
        <v>45705</v>
      </c>
      <c r="C102" s="1">
        <v>2</v>
      </c>
      <c r="D102" s="1" t="s">
        <v>838</v>
      </c>
      <c r="E102" s="1" t="s">
        <v>21</v>
      </c>
      <c r="F102" s="8" t="s">
        <v>129</v>
      </c>
      <c r="G102" s="6">
        <v>800000</v>
      </c>
      <c r="H102" s="6"/>
      <c r="I102" s="6"/>
      <c r="J102" s="7"/>
      <c r="K102" s="73"/>
      <c r="L102" s="73"/>
      <c r="M102" s="73"/>
      <c r="N102" s="73"/>
      <c r="O102" s="3" t="str">
        <f>IF(C102="","",IF(C102=5,IFERROR(INDEX(code_Note1!$F$13:$F$16,MATCH(E102,code_Note1!$E$13:$E$16,0)),INDEX(code_Note1!$F$16,1)),IF(B102&lt;code_Note1!$D$21,"No",IFERROR(VLOOKUP(C102,code_Note1!$D$3:$G$8,3,FALSE),""))))</f>
        <v>No</v>
      </c>
      <c r="P102" s="3" t="s">
        <v>831</v>
      </c>
    </row>
    <row r="103" spans="1:16" ht="19.5" customHeight="1">
      <c r="A103" s="2" t="s">
        <v>854</v>
      </c>
      <c r="B103" s="38">
        <v>45705</v>
      </c>
      <c r="C103" s="1">
        <v>2</v>
      </c>
      <c r="D103" s="1" t="s">
        <v>838</v>
      </c>
      <c r="E103" s="1" t="s">
        <v>46</v>
      </c>
      <c r="F103" s="8" t="s">
        <v>130</v>
      </c>
      <c r="G103" s="6">
        <v>2000000</v>
      </c>
      <c r="H103" s="6"/>
      <c r="I103" s="6"/>
      <c r="J103" s="7"/>
      <c r="K103" s="73"/>
      <c r="L103" s="73"/>
      <c r="M103" s="73"/>
      <c r="N103" s="73"/>
      <c r="O103" s="3" t="str">
        <f>IF(C103="","",IF(C103=5,IFERROR(INDEX(code_Note1!$F$13:$F$16,MATCH(E103,code_Note1!$E$13:$E$16,0)),INDEX(code_Note1!$F$16,1)),IF(B103&lt;code_Note1!$D$21,"No",IFERROR(VLOOKUP(C103,code_Note1!$D$3:$G$8,3,FALSE),""))))</f>
        <v>No</v>
      </c>
      <c r="P103" s="3" t="s">
        <v>831</v>
      </c>
    </row>
    <row r="104" spans="1:16" ht="19.5" customHeight="1">
      <c r="A104" s="2" t="s">
        <v>854</v>
      </c>
      <c r="B104" s="38">
        <v>45705</v>
      </c>
      <c r="C104" s="1">
        <v>3</v>
      </c>
      <c r="D104" s="1" t="s">
        <v>823</v>
      </c>
      <c r="E104" s="1" t="s">
        <v>44</v>
      </c>
      <c r="F104" s="8" t="s">
        <v>2</v>
      </c>
      <c r="G104" s="6">
        <v>180000</v>
      </c>
      <c r="H104" s="6"/>
      <c r="I104" s="6"/>
      <c r="J104" s="7"/>
      <c r="K104" s="73"/>
      <c r="L104" s="73"/>
      <c r="M104" s="73"/>
      <c r="N104" s="73"/>
      <c r="O104" s="3" t="str">
        <f>IF(C104="","",IF(C104=5,IFERROR(INDEX(code_Note1!$F$13:$F$16,MATCH(E104,code_Note1!$E$13:$E$16,0)),INDEX(code_Note1!$F$16,1)),IF(B104&lt;code_Note1!$D$21,"No",IFERROR(VLOOKUP(C104,code_Note1!$D$3:$G$8,3,FALSE),""))))</f>
        <v>No</v>
      </c>
      <c r="P104" s="3" t="s">
        <v>832</v>
      </c>
    </row>
    <row r="105" spans="1:16" ht="19.5" customHeight="1">
      <c r="A105" s="2" t="s">
        <v>854</v>
      </c>
      <c r="B105" s="38">
        <v>45705</v>
      </c>
      <c r="C105" s="1">
        <v>2</v>
      </c>
      <c r="D105" s="1" t="s">
        <v>838</v>
      </c>
      <c r="E105" s="1" t="s">
        <v>46</v>
      </c>
      <c r="F105" s="8" t="s">
        <v>130</v>
      </c>
      <c r="G105" s="6">
        <v>2000000</v>
      </c>
      <c r="H105" s="6"/>
      <c r="I105" s="6"/>
      <c r="J105" s="7"/>
      <c r="K105" s="73"/>
      <c r="L105" s="73"/>
      <c r="M105" s="73"/>
      <c r="N105" s="73"/>
      <c r="O105" s="3" t="str">
        <f>IF(C105="","",IF(C105=5,IFERROR(INDEX(code_Note1!$F$13:$F$16,MATCH(E105,code_Note1!$E$13:$E$16,0)),INDEX(code_Note1!$F$16,1)),IF(B105&lt;code_Note1!$D$21,"No",IFERROR(VLOOKUP(C105,code_Note1!$D$3:$G$8,3,FALSE),""))))</f>
        <v>No</v>
      </c>
      <c r="P105" s="3" t="s">
        <v>831</v>
      </c>
    </row>
    <row r="106" spans="1:16" ht="19.5" customHeight="1">
      <c r="A106" s="2" t="s">
        <v>854</v>
      </c>
      <c r="B106" s="38">
        <v>45705</v>
      </c>
      <c r="C106" s="1">
        <v>3</v>
      </c>
      <c r="D106" s="1" t="s">
        <v>823</v>
      </c>
      <c r="E106" s="1" t="s">
        <v>44</v>
      </c>
      <c r="F106" s="8" t="s">
        <v>2</v>
      </c>
      <c r="G106" s="6">
        <v>180000</v>
      </c>
      <c r="H106" s="6"/>
      <c r="I106" s="6"/>
      <c r="J106" s="7"/>
      <c r="K106" s="73"/>
      <c r="L106" s="73"/>
      <c r="M106" s="73"/>
      <c r="N106" s="73"/>
      <c r="O106" s="3" t="str">
        <f>IF(C106="","",IF(C106=5,IFERROR(INDEX(code_Note1!$F$13:$F$16,MATCH(E106,code_Note1!$E$13:$E$16,0)),INDEX(code_Note1!$F$16,1)),IF(B106&lt;code_Note1!$D$21,"No",IFERROR(VLOOKUP(C106,code_Note1!$D$3:$G$8,3,FALSE),""))))</f>
        <v>No</v>
      </c>
      <c r="P106" s="3" t="s">
        <v>832</v>
      </c>
    </row>
    <row r="107" spans="1:16" ht="19.5" customHeight="1">
      <c r="A107" s="2" t="s">
        <v>854</v>
      </c>
      <c r="B107" s="38">
        <v>45705</v>
      </c>
      <c r="C107" s="1">
        <v>3</v>
      </c>
      <c r="D107" s="1" t="s">
        <v>823</v>
      </c>
      <c r="E107" s="1" t="s">
        <v>38</v>
      </c>
      <c r="F107" s="8" t="s">
        <v>131</v>
      </c>
      <c r="G107" s="6">
        <v>582000</v>
      </c>
      <c r="H107" s="6"/>
      <c r="I107" s="6"/>
      <c r="J107" s="7"/>
      <c r="K107" s="73"/>
      <c r="L107" s="73"/>
      <c r="M107" s="73"/>
      <c r="N107" s="73"/>
      <c r="O107" s="3" t="str">
        <f>IF(C107="","",IF(C107=5,IFERROR(INDEX(code_Note1!$F$13:$F$16,MATCH(E107,code_Note1!$E$13:$E$16,0)),INDEX(code_Note1!$F$16,1)),IF(B107&lt;code_Note1!$D$21,"No",IFERROR(VLOOKUP(C107,code_Note1!$D$3:$G$8,3,FALSE),""))))</f>
        <v>No</v>
      </c>
      <c r="P107" s="3" t="s">
        <v>832</v>
      </c>
    </row>
    <row r="108" spans="1:16" ht="19.5" customHeight="1">
      <c r="A108" s="2" t="s">
        <v>854</v>
      </c>
      <c r="B108" s="38">
        <v>45705</v>
      </c>
      <c r="C108" s="1">
        <v>2</v>
      </c>
      <c r="D108" s="1" t="s">
        <v>838</v>
      </c>
      <c r="E108" s="1" t="s">
        <v>46</v>
      </c>
      <c r="F108" s="8" t="s">
        <v>130</v>
      </c>
      <c r="G108" s="6">
        <v>1600000</v>
      </c>
      <c r="H108" s="6"/>
      <c r="I108" s="6"/>
      <c r="J108" s="7"/>
      <c r="K108" s="73"/>
      <c r="L108" s="73"/>
      <c r="M108" s="73"/>
      <c r="N108" s="73"/>
      <c r="O108" s="3" t="str">
        <f>IF(C108="","",IF(C108=5,IFERROR(INDEX(code_Note1!$F$13:$F$16,MATCH(E108,code_Note1!$E$13:$E$16,0)),INDEX(code_Note1!$F$16,1)),IF(B108&lt;code_Note1!$D$21,"No",IFERROR(VLOOKUP(C108,code_Note1!$D$3:$G$8,3,FALSE),""))))</f>
        <v>No</v>
      </c>
      <c r="P108" s="3" t="s">
        <v>831</v>
      </c>
    </row>
    <row r="109" spans="1:16" ht="19.5" customHeight="1">
      <c r="A109" s="2" t="s">
        <v>854</v>
      </c>
      <c r="B109" s="38">
        <v>45706</v>
      </c>
      <c r="C109" s="1">
        <v>2</v>
      </c>
      <c r="D109" s="1" t="s">
        <v>838</v>
      </c>
      <c r="E109" s="1" t="s">
        <v>46</v>
      </c>
      <c r="F109" s="8" t="s">
        <v>132</v>
      </c>
      <c r="G109" s="6">
        <v>900000</v>
      </c>
      <c r="H109" s="6"/>
      <c r="I109" s="6"/>
      <c r="J109" s="7"/>
      <c r="K109" s="73"/>
      <c r="L109" s="73"/>
      <c r="M109" s="73"/>
      <c r="N109" s="73"/>
      <c r="O109" s="3" t="str">
        <f>IF(C109="","",IF(C109=5,IFERROR(INDEX(code_Note1!$F$13:$F$16,MATCH(E109,code_Note1!$E$13:$E$16,0)),INDEX(code_Note1!$F$16,1)),IF(B109&lt;code_Note1!$D$21,"No",IFERROR(VLOOKUP(C109,code_Note1!$D$3:$G$8,3,FALSE),""))))</f>
        <v>No</v>
      </c>
      <c r="P109" s="3" t="s">
        <v>831</v>
      </c>
    </row>
    <row r="110" spans="1:16" ht="19.5" customHeight="1">
      <c r="A110" s="2" t="s">
        <v>854</v>
      </c>
      <c r="B110" s="38">
        <v>45706</v>
      </c>
      <c r="C110" s="1">
        <v>3</v>
      </c>
      <c r="D110" s="1" t="s">
        <v>823</v>
      </c>
      <c r="E110" s="1" t="s">
        <v>12</v>
      </c>
      <c r="F110" s="8" t="s">
        <v>133</v>
      </c>
      <c r="G110" s="6">
        <v>400000</v>
      </c>
      <c r="H110" s="6"/>
      <c r="I110" s="6"/>
      <c r="J110" s="7"/>
      <c r="K110" s="73"/>
      <c r="L110" s="73"/>
      <c r="M110" s="73"/>
      <c r="N110" s="73"/>
      <c r="O110" s="3" t="str">
        <f>IF(C110="","",IF(C110=5,IFERROR(INDEX(code_Note1!$F$13:$F$16,MATCH(E110,code_Note1!$E$13:$E$16,0)),INDEX(code_Note1!$F$16,1)),IF(B110&lt;code_Note1!$D$21,"No",IFERROR(VLOOKUP(C110,code_Note1!$D$3:$G$8,3,FALSE),""))))</f>
        <v>No</v>
      </c>
      <c r="P110" s="3" t="s">
        <v>832</v>
      </c>
    </row>
    <row r="111" spans="1:16" ht="19.5" customHeight="1">
      <c r="A111" s="2" t="s">
        <v>854</v>
      </c>
      <c r="B111" s="38">
        <v>45707</v>
      </c>
      <c r="C111" s="1">
        <v>2</v>
      </c>
      <c r="D111" s="1" t="s">
        <v>838</v>
      </c>
      <c r="E111" s="1" t="s">
        <v>46</v>
      </c>
      <c r="F111" s="8" t="s">
        <v>134</v>
      </c>
      <c r="G111" s="6">
        <v>2100000</v>
      </c>
      <c r="H111" s="6"/>
      <c r="I111" s="6"/>
      <c r="J111" s="7"/>
      <c r="K111" s="73"/>
      <c r="L111" s="73"/>
      <c r="M111" s="73"/>
      <c r="N111" s="73"/>
      <c r="O111" s="3" t="str">
        <f>IF(C111="","",IF(C111=5,IFERROR(INDEX(code_Note1!$F$13:$F$16,MATCH(E111,code_Note1!$E$13:$E$16,0)),INDEX(code_Note1!$F$16,1)),IF(B111&lt;code_Note1!$D$21,"No",IFERROR(VLOOKUP(C111,code_Note1!$D$3:$G$8,3,FALSE),""))))</f>
        <v>No</v>
      </c>
      <c r="P111" s="3" t="s">
        <v>831</v>
      </c>
    </row>
    <row r="112" spans="1:16" ht="19.5" customHeight="1">
      <c r="A112" s="2" t="s">
        <v>854</v>
      </c>
      <c r="B112" s="38">
        <v>45707</v>
      </c>
      <c r="C112" s="1">
        <v>2</v>
      </c>
      <c r="D112" s="1" t="s">
        <v>838</v>
      </c>
      <c r="E112" s="1" t="s">
        <v>46</v>
      </c>
      <c r="F112" s="8" t="s">
        <v>135</v>
      </c>
      <c r="G112" s="6">
        <v>1200000</v>
      </c>
      <c r="H112" s="6"/>
      <c r="I112" s="6"/>
      <c r="J112" s="7"/>
      <c r="K112" s="73"/>
      <c r="L112" s="73"/>
      <c r="M112" s="73"/>
      <c r="N112" s="73"/>
      <c r="O112" s="3" t="str">
        <f>IF(C112="","",IF(C112=5,IFERROR(INDEX(code_Note1!$F$13:$F$16,MATCH(E112,code_Note1!$E$13:$E$16,0)),INDEX(code_Note1!$F$16,1)),IF(B112&lt;code_Note1!$D$21,"No",IFERROR(VLOOKUP(C112,code_Note1!$D$3:$G$8,3,FALSE),""))))</f>
        <v>No</v>
      </c>
      <c r="P112" s="3" t="s">
        <v>831</v>
      </c>
    </row>
    <row r="113" spans="1:16" ht="19.5" customHeight="1">
      <c r="A113" s="2" t="s">
        <v>854</v>
      </c>
      <c r="B113" s="38">
        <v>45707</v>
      </c>
      <c r="C113" s="1">
        <v>3</v>
      </c>
      <c r="D113" s="1" t="s">
        <v>823</v>
      </c>
      <c r="E113" s="1" t="s">
        <v>38</v>
      </c>
      <c r="F113" s="8" t="s">
        <v>136</v>
      </c>
      <c r="G113" s="6">
        <v>474000</v>
      </c>
      <c r="H113" s="6"/>
      <c r="I113" s="6"/>
      <c r="J113" s="7"/>
      <c r="K113" s="73"/>
      <c r="L113" s="73"/>
      <c r="M113" s="73"/>
      <c r="N113" s="73"/>
      <c r="O113" s="3" t="str">
        <f>IF(C113="","",IF(C113=5,IFERROR(INDEX(code_Note1!$F$13:$F$16,MATCH(E113,code_Note1!$E$13:$E$16,0)),INDEX(code_Note1!$F$16,1)),IF(B113&lt;code_Note1!$D$21,"No",IFERROR(VLOOKUP(C113,code_Note1!$D$3:$G$8,3,FALSE),""))))</f>
        <v>No</v>
      </c>
      <c r="P113" s="3" t="s">
        <v>832</v>
      </c>
    </row>
    <row r="114" spans="1:16" ht="19.5" customHeight="1">
      <c r="A114" s="2" t="s">
        <v>854</v>
      </c>
      <c r="B114" s="38">
        <v>45707</v>
      </c>
      <c r="C114" s="1">
        <v>2</v>
      </c>
      <c r="D114" s="1" t="s">
        <v>838</v>
      </c>
      <c r="E114" s="1" t="s">
        <v>21</v>
      </c>
      <c r="F114" s="8" t="s">
        <v>137</v>
      </c>
      <c r="G114" s="6">
        <v>560000</v>
      </c>
      <c r="H114" s="6"/>
      <c r="I114" s="6"/>
      <c r="J114" s="7"/>
      <c r="K114" s="73"/>
      <c r="L114" s="73"/>
      <c r="M114" s="73"/>
      <c r="N114" s="73"/>
      <c r="O114" s="3" t="str">
        <f>IF(C114="","",IF(C114=5,IFERROR(INDEX(code_Note1!$F$13:$F$16,MATCH(E114,code_Note1!$E$13:$E$16,0)),INDEX(code_Note1!$F$16,1)),IF(B114&lt;code_Note1!$D$21,"No",IFERROR(VLOOKUP(C114,code_Note1!$D$3:$G$8,3,FALSE),""))))</f>
        <v>No</v>
      </c>
      <c r="P114" s="3" t="s">
        <v>831</v>
      </c>
    </row>
    <row r="115" spans="1:16" ht="19.5" customHeight="1">
      <c r="A115" s="2" t="s">
        <v>854</v>
      </c>
      <c r="B115" s="38">
        <v>45708</v>
      </c>
      <c r="C115" s="1">
        <v>2</v>
      </c>
      <c r="D115" s="1" t="s">
        <v>838</v>
      </c>
      <c r="E115" s="1" t="s">
        <v>46</v>
      </c>
      <c r="F115" s="8" t="s">
        <v>138</v>
      </c>
      <c r="G115" s="6">
        <v>1500000</v>
      </c>
      <c r="H115" s="6"/>
      <c r="I115" s="6"/>
      <c r="J115" s="7"/>
      <c r="K115" s="73"/>
      <c r="L115" s="73"/>
      <c r="M115" s="73"/>
      <c r="N115" s="73"/>
      <c r="O115" s="3" t="str">
        <f>IF(C115="","",IF(C115=5,IFERROR(INDEX(code_Note1!$F$13:$F$16,MATCH(E115,code_Note1!$E$13:$E$16,0)),INDEX(code_Note1!$F$16,1)),IF(B115&lt;code_Note1!$D$21,"No",IFERROR(VLOOKUP(C115,code_Note1!$D$3:$G$8,3,FALSE),""))))</f>
        <v>No</v>
      </c>
      <c r="P115" s="3" t="s">
        <v>831</v>
      </c>
    </row>
    <row r="116" spans="1:16" ht="19.5" customHeight="1">
      <c r="A116" s="2" t="s">
        <v>854</v>
      </c>
      <c r="B116" s="38">
        <v>45708</v>
      </c>
      <c r="C116" s="1">
        <v>2</v>
      </c>
      <c r="D116" s="1" t="s">
        <v>838</v>
      </c>
      <c r="E116" s="1" t="s">
        <v>46</v>
      </c>
      <c r="F116" s="8" t="s">
        <v>139</v>
      </c>
      <c r="G116" s="6">
        <v>1800000</v>
      </c>
      <c r="H116" s="6"/>
      <c r="I116" s="6"/>
      <c r="J116" s="7"/>
      <c r="K116" s="73"/>
      <c r="L116" s="73"/>
      <c r="M116" s="73"/>
      <c r="N116" s="73"/>
      <c r="O116" s="3" t="str">
        <f>IF(C116="","",IF(C116=5,IFERROR(INDEX(code_Note1!$F$13:$F$16,MATCH(E116,code_Note1!$E$13:$E$16,0)),INDEX(code_Note1!$F$16,1)),IF(B116&lt;code_Note1!$D$21,"No",IFERROR(VLOOKUP(C116,code_Note1!$D$3:$G$8,3,FALSE),""))))</f>
        <v>No</v>
      </c>
      <c r="P116" s="3" t="s">
        <v>831</v>
      </c>
    </row>
    <row r="117" spans="1:16" ht="19.5" customHeight="1">
      <c r="A117" s="2" t="s">
        <v>854</v>
      </c>
      <c r="B117" s="38">
        <v>45708</v>
      </c>
      <c r="C117" s="1">
        <v>2</v>
      </c>
      <c r="D117" s="1" t="s">
        <v>838</v>
      </c>
      <c r="E117" s="1" t="s">
        <v>14</v>
      </c>
      <c r="F117" s="8" t="s">
        <v>140</v>
      </c>
      <c r="G117" s="6">
        <v>3100000</v>
      </c>
      <c r="H117" s="6"/>
      <c r="I117" s="6"/>
      <c r="J117" s="7"/>
      <c r="K117" s="73"/>
      <c r="L117" s="73"/>
      <c r="M117" s="73"/>
      <c r="N117" s="73"/>
      <c r="O117" s="3" t="str">
        <f>IF(C117="","",IF(C117=5,IFERROR(INDEX(code_Note1!$F$13:$F$16,MATCH(E117,code_Note1!$E$13:$E$16,0)),INDEX(code_Note1!$F$16,1)),IF(B117&lt;code_Note1!$D$21,"No",IFERROR(VLOOKUP(C117,code_Note1!$D$3:$G$8,3,FALSE),""))))</f>
        <v>No</v>
      </c>
      <c r="P117" s="3" t="s">
        <v>831</v>
      </c>
    </row>
    <row r="118" spans="1:16" ht="19.5" customHeight="1">
      <c r="A118" s="2" t="s">
        <v>854</v>
      </c>
      <c r="B118" s="38">
        <v>45708</v>
      </c>
      <c r="C118" s="1">
        <v>2</v>
      </c>
      <c r="D118" s="1" t="s">
        <v>838</v>
      </c>
      <c r="E118" s="1" t="s">
        <v>65</v>
      </c>
      <c r="F118" s="8" t="s">
        <v>141</v>
      </c>
      <c r="G118" s="6">
        <v>0</v>
      </c>
      <c r="H118" s="6">
        <v>0</v>
      </c>
      <c r="I118" s="6">
        <v>3316.67</v>
      </c>
      <c r="J118" s="7"/>
      <c r="K118" s="73"/>
      <c r="L118" s="73"/>
      <c r="M118" s="73"/>
      <c r="N118" s="73"/>
      <c r="O118" s="3" t="str">
        <f>IF(C118="","",IF(C118=5,IFERROR(INDEX(code_Note1!$F$13:$F$16,MATCH(E118,code_Note1!$E$13:$E$16,0)),INDEX(code_Note1!$F$16,1)),IF(B118&lt;code_Note1!$D$21,"No",IFERROR(VLOOKUP(C118,code_Note1!$D$3:$G$8,3,FALSE),""))))</f>
        <v>No</v>
      </c>
      <c r="P118" s="3" t="s">
        <v>831</v>
      </c>
    </row>
    <row r="119" spans="1:16" ht="19.5" customHeight="1">
      <c r="A119" s="2" t="s">
        <v>854</v>
      </c>
      <c r="B119" s="38">
        <v>45708</v>
      </c>
      <c r="C119" s="1">
        <v>2</v>
      </c>
      <c r="D119" s="1" t="s">
        <v>838</v>
      </c>
      <c r="E119" s="1" t="s">
        <v>46</v>
      </c>
      <c r="F119" s="8" t="s">
        <v>142</v>
      </c>
      <c r="G119" s="6">
        <v>4600000</v>
      </c>
      <c r="H119" s="6"/>
      <c r="I119" s="6"/>
      <c r="J119" s="7"/>
      <c r="K119" s="73"/>
      <c r="L119" s="73"/>
      <c r="M119" s="73"/>
      <c r="N119" s="73"/>
      <c r="O119" s="3" t="str">
        <f>IF(C119="","",IF(C119=5,IFERROR(INDEX(code_Note1!$F$13:$F$16,MATCH(E119,code_Note1!$E$13:$E$16,0)),INDEX(code_Note1!$F$16,1)),IF(B119&lt;code_Note1!$D$21,"No",IFERROR(VLOOKUP(C119,code_Note1!$D$3:$G$8,3,FALSE),""))))</f>
        <v>No</v>
      </c>
      <c r="P119" s="3" t="s">
        <v>831</v>
      </c>
    </row>
    <row r="120" spans="1:16" ht="19.5" customHeight="1">
      <c r="A120" s="2" t="s">
        <v>854</v>
      </c>
      <c r="B120" s="38">
        <v>45708</v>
      </c>
      <c r="C120" s="1">
        <v>2</v>
      </c>
      <c r="D120" s="1" t="s">
        <v>838</v>
      </c>
      <c r="E120" s="1" t="s">
        <v>46</v>
      </c>
      <c r="F120" s="8" t="s">
        <v>143</v>
      </c>
      <c r="G120" s="6">
        <v>400000</v>
      </c>
      <c r="H120" s="6"/>
      <c r="I120" s="6"/>
      <c r="J120" s="7"/>
      <c r="K120" s="73"/>
      <c r="L120" s="73"/>
      <c r="M120" s="73"/>
      <c r="N120" s="73"/>
      <c r="O120" s="3" t="str">
        <f>IF(C120="","",IF(C120=5,IFERROR(INDEX(code_Note1!$F$13:$F$16,MATCH(E120,code_Note1!$E$13:$E$16,0)),INDEX(code_Note1!$F$16,1)),IF(B120&lt;code_Note1!$D$21,"No",IFERROR(VLOOKUP(C120,code_Note1!$D$3:$G$8,3,FALSE),""))))</f>
        <v>No</v>
      </c>
      <c r="P120" s="3" t="s">
        <v>831</v>
      </c>
    </row>
    <row r="121" spans="1:16" ht="19.5" customHeight="1">
      <c r="A121" s="2" t="s">
        <v>854</v>
      </c>
      <c r="B121" s="38">
        <v>45708</v>
      </c>
      <c r="C121" s="1">
        <v>3</v>
      </c>
      <c r="D121" s="1" t="s">
        <v>823</v>
      </c>
      <c r="E121" s="1" t="s">
        <v>38</v>
      </c>
      <c r="F121" s="8" t="s">
        <v>144</v>
      </c>
      <c r="G121" s="6">
        <v>100000</v>
      </c>
      <c r="H121" s="6"/>
      <c r="I121" s="6"/>
      <c r="J121" s="7"/>
      <c r="K121" s="73"/>
      <c r="L121" s="73"/>
      <c r="M121" s="73"/>
      <c r="N121" s="73"/>
      <c r="O121" s="3" t="str">
        <f>IF(C121="","",IF(C121=5,IFERROR(INDEX(code_Note1!$F$13:$F$16,MATCH(E121,code_Note1!$E$13:$E$16,0)),INDEX(code_Note1!$F$16,1)),IF(B121&lt;code_Note1!$D$21,"No",IFERROR(VLOOKUP(C121,code_Note1!$D$3:$G$8,3,FALSE),""))))</f>
        <v>No</v>
      </c>
      <c r="P121" s="3" t="s">
        <v>832</v>
      </c>
    </row>
    <row r="122" spans="1:16" ht="19.5" customHeight="1">
      <c r="A122" s="2" t="s">
        <v>854</v>
      </c>
      <c r="B122" s="38">
        <v>45708</v>
      </c>
      <c r="C122" s="1">
        <v>2</v>
      </c>
      <c r="D122" s="1" t="s">
        <v>838</v>
      </c>
      <c r="E122" s="1" t="s">
        <v>111</v>
      </c>
      <c r="F122" s="8" t="s">
        <v>145</v>
      </c>
      <c r="G122" s="6">
        <v>8000000</v>
      </c>
      <c r="H122" s="6"/>
      <c r="I122" s="6"/>
      <c r="J122" s="7"/>
      <c r="K122" s="73"/>
      <c r="L122" s="73"/>
      <c r="M122" s="73"/>
      <c r="N122" s="73"/>
      <c r="O122" s="3" t="str">
        <f>IF(C122="","",IF(C122=5,IFERROR(INDEX(code_Note1!$F$13:$F$16,MATCH(E122,code_Note1!$E$13:$E$16,0)),INDEX(code_Note1!$F$16,1)),IF(B122&lt;code_Note1!$D$21,"No",IFERROR(VLOOKUP(C122,code_Note1!$D$3:$G$8,3,FALSE),""))))</f>
        <v>No</v>
      </c>
      <c r="P122" s="3" t="s">
        <v>831</v>
      </c>
    </row>
    <row r="123" spans="1:16" ht="19.5" customHeight="1">
      <c r="A123" s="2" t="s">
        <v>854</v>
      </c>
      <c r="B123" s="38">
        <v>45708</v>
      </c>
      <c r="C123" s="1">
        <v>3</v>
      </c>
      <c r="D123" s="1" t="s">
        <v>823</v>
      </c>
      <c r="E123" s="1" t="s">
        <v>147</v>
      </c>
      <c r="F123" s="8" t="s">
        <v>146</v>
      </c>
      <c r="G123" s="6">
        <v>210000</v>
      </c>
      <c r="H123" s="6"/>
      <c r="I123" s="6"/>
      <c r="J123" s="7"/>
      <c r="K123" s="73"/>
      <c r="L123" s="73"/>
      <c r="M123" s="73"/>
      <c r="N123" s="73"/>
      <c r="O123" s="3" t="str">
        <f>IF(C123="","",IF(C123=5,IFERROR(INDEX(code_Note1!$F$13:$F$16,MATCH(E123,code_Note1!$E$13:$E$16,0)),INDEX(code_Note1!$F$16,1)),IF(B123&lt;code_Note1!$D$21,"No",IFERROR(VLOOKUP(C123,code_Note1!$D$3:$G$8,3,FALSE),""))))</f>
        <v>No</v>
      </c>
      <c r="P123" s="3" t="s">
        <v>832</v>
      </c>
    </row>
    <row r="124" spans="1:16" ht="19.5" customHeight="1">
      <c r="A124" s="2" t="s">
        <v>854</v>
      </c>
      <c r="B124" s="38">
        <v>45710</v>
      </c>
      <c r="C124" s="1">
        <v>3</v>
      </c>
      <c r="D124" s="1" t="s">
        <v>823</v>
      </c>
      <c r="E124" s="1" t="s">
        <v>147</v>
      </c>
      <c r="F124" s="8" t="s">
        <v>147</v>
      </c>
      <c r="G124" s="6">
        <v>740000</v>
      </c>
      <c r="H124" s="6"/>
      <c r="I124" s="6"/>
      <c r="J124" s="7"/>
      <c r="K124" s="73"/>
      <c r="L124" s="73"/>
      <c r="M124" s="73"/>
      <c r="N124" s="73"/>
      <c r="O124" s="3" t="str">
        <f>IF(C124="","",IF(C124=5,IFERROR(INDEX(code_Note1!$F$13:$F$16,MATCH(E124,code_Note1!$E$13:$E$16,0)),INDEX(code_Note1!$F$16,1)),IF(B124&lt;code_Note1!$D$21,"No",IFERROR(VLOOKUP(C124,code_Note1!$D$3:$G$8,3,FALSE),""))))</f>
        <v>No</v>
      </c>
      <c r="P124" s="3" t="s">
        <v>832</v>
      </c>
    </row>
    <row r="125" spans="1:16" ht="19.5" customHeight="1">
      <c r="A125" s="2" t="s">
        <v>854</v>
      </c>
      <c r="B125" s="38">
        <v>45710</v>
      </c>
      <c r="C125" s="1">
        <v>2</v>
      </c>
      <c r="D125" s="1" t="s">
        <v>838</v>
      </c>
      <c r="E125" s="1" t="s">
        <v>21</v>
      </c>
      <c r="F125" s="8" t="s">
        <v>148</v>
      </c>
      <c r="G125" s="6">
        <v>220000</v>
      </c>
      <c r="H125" s="6"/>
      <c r="I125" s="6"/>
      <c r="J125" s="7"/>
      <c r="K125" s="73"/>
      <c r="L125" s="73"/>
      <c r="M125" s="73"/>
      <c r="N125" s="73"/>
      <c r="O125" s="3" t="str">
        <f>IF(C125="","",IF(C125=5,IFERROR(INDEX(code_Note1!$F$13:$F$16,MATCH(E125,code_Note1!$E$13:$E$16,0)),INDEX(code_Note1!$F$16,1)),IF(B125&lt;code_Note1!$D$21,"No",IFERROR(VLOOKUP(C125,code_Note1!$D$3:$G$8,3,FALSE),""))))</f>
        <v>No</v>
      </c>
      <c r="P125" s="3" t="s">
        <v>831</v>
      </c>
    </row>
    <row r="126" spans="1:16" ht="19.5" customHeight="1">
      <c r="A126" s="2" t="s">
        <v>854</v>
      </c>
      <c r="B126" s="38">
        <v>45710</v>
      </c>
      <c r="C126" s="1">
        <v>2</v>
      </c>
      <c r="D126" s="1" t="s">
        <v>838</v>
      </c>
      <c r="E126" s="1" t="s">
        <v>34</v>
      </c>
      <c r="F126" s="8" t="s">
        <v>149</v>
      </c>
      <c r="G126" s="6">
        <v>0</v>
      </c>
      <c r="H126" s="6">
        <v>0</v>
      </c>
      <c r="I126" s="6">
        <v>3654.17</v>
      </c>
      <c r="J126" s="7"/>
      <c r="K126" s="73"/>
      <c r="L126" s="73"/>
      <c r="M126" s="73"/>
      <c r="N126" s="73"/>
      <c r="O126" s="3" t="str">
        <f>IF(C126="","",IF(C126=5,IFERROR(INDEX(code_Note1!$F$13:$F$16,MATCH(E126,code_Note1!$E$13:$E$16,0)),INDEX(code_Note1!$F$16,1)),IF(B126&lt;code_Note1!$D$21,"No",IFERROR(VLOOKUP(C126,code_Note1!$D$3:$G$8,3,FALSE),""))))</f>
        <v>No</v>
      </c>
      <c r="P126" s="3" t="s">
        <v>831</v>
      </c>
    </row>
    <row r="127" spans="1:16" ht="19.5" customHeight="1">
      <c r="A127" s="2" t="s">
        <v>854</v>
      </c>
      <c r="B127" s="38">
        <v>45710</v>
      </c>
      <c r="C127" s="1">
        <v>1</v>
      </c>
      <c r="D127" s="1" t="s">
        <v>824</v>
      </c>
      <c r="E127" s="1" t="s">
        <v>54</v>
      </c>
      <c r="F127" s="8" t="s">
        <v>150</v>
      </c>
      <c r="G127" s="6">
        <v>150000</v>
      </c>
      <c r="H127" s="6"/>
      <c r="I127" s="6"/>
      <c r="J127" s="7"/>
      <c r="K127" s="73"/>
      <c r="L127" s="73"/>
      <c r="M127" s="73"/>
      <c r="N127" s="73"/>
      <c r="O127" s="3" t="str">
        <f>IF(C127="","",IF(C127=5,IFERROR(INDEX(code_Note1!$F$13:$F$16,MATCH(E127,code_Note1!$E$13:$E$16,0)),INDEX(code_Note1!$F$16,1)),IF(B127&lt;code_Note1!$D$21,"No",IFERROR(VLOOKUP(C127,code_Note1!$D$3:$G$8,3,FALSE),""))))</f>
        <v>No</v>
      </c>
      <c r="P127" s="3" t="s">
        <v>832</v>
      </c>
    </row>
    <row r="128" spans="1:16" ht="19.5" customHeight="1">
      <c r="A128" s="2" t="s">
        <v>854</v>
      </c>
      <c r="B128" s="38">
        <v>45710</v>
      </c>
      <c r="C128" s="1">
        <v>1</v>
      </c>
      <c r="D128" s="1" t="s">
        <v>824</v>
      </c>
      <c r="E128" s="1" t="s">
        <v>54</v>
      </c>
      <c r="F128" s="8" t="s">
        <v>151</v>
      </c>
      <c r="G128" s="6">
        <v>90000</v>
      </c>
      <c r="H128" s="6"/>
      <c r="I128" s="6"/>
      <c r="J128" s="7"/>
      <c r="K128" s="73"/>
      <c r="L128" s="73"/>
      <c r="M128" s="73"/>
      <c r="N128" s="73"/>
      <c r="O128" s="3" t="str">
        <f>IF(C128="","",IF(C128=5,IFERROR(INDEX(code_Note1!$F$13:$F$16,MATCH(E128,code_Note1!$E$13:$E$16,0)),INDEX(code_Note1!$F$16,1)),IF(B128&lt;code_Note1!$D$21,"No",IFERROR(VLOOKUP(C128,code_Note1!$D$3:$G$8,3,FALSE),""))))</f>
        <v>No</v>
      </c>
      <c r="P128" s="3" t="s">
        <v>832</v>
      </c>
    </row>
    <row r="129" spans="1:16" ht="19.5" customHeight="1">
      <c r="A129" s="2" t="s">
        <v>854</v>
      </c>
      <c r="B129" s="38">
        <v>45711</v>
      </c>
      <c r="C129" s="1">
        <v>2</v>
      </c>
      <c r="D129" s="1" t="s">
        <v>838</v>
      </c>
      <c r="E129" s="1" t="s">
        <v>24</v>
      </c>
      <c r="F129" s="8" t="s">
        <v>152</v>
      </c>
      <c r="G129" s="6">
        <v>750000</v>
      </c>
      <c r="H129" s="6"/>
      <c r="I129" s="6"/>
      <c r="J129" s="7"/>
      <c r="K129" s="73"/>
      <c r="L129" s="73"/>
      <c r="M129" s="73"/>
      <c r="N129" s="73"/>
      <c r="O129" s="3" t="str">
        <f>IF(C129="","",IF(C129=5,IFERROR(INDEX(code_Note1!$F$13:$F$16,MATCH(E129,code_Note1!$E$13:$E$16,0)),INDEX(code_Note1!$F$16,1)),IF(B129&lt;code_Note1!$D$21,"No",IFERROR(VLOOKUP(C129,code_Note1!$D$3:$G$8,3,FALSE),""))))</f>
        <v>No</v>
      </c>
      <c r="P129" s="3" t="s">
        <v>831</v>
      </c>
    </row>
    <row r="130" spans="1:16" ht="19.5" customHeight="1">
      <c r="A130" s="2" t="s">
        <v>854</v>
      </c>
      <c r="B130" s="38">
        <v>45711</v>
      </c>
      <c r="C130" s="1">
        <v>2</v>
      </c>
      <c r="D130" s="1" t="s">
        <v>838</v>
      </c>
      <c r="E130" s="1" t="s">
        <v>21</v>
      </c>
      <c r="F130" s="8" t="s">
        <v>86</v>
      </c>
      <c r="G130" s="6">
        <v>120000</v>
      </c>
      <c r="H130" s="6"/>
      <c r="I130" s="6"/>
      <c r="J130" s="7"/>
      <c r="K130" s="73"/>
      <c r="L130" s="73"/>
      <c r="M130" s="73"/>
      <c r="N130" s="73"/>
      <c r="O130" s="3" t="str">
        <f>IF(C130="","",IF(C130=5,IFERROR(INDEX(code_Note1!$F$13:$F$16,MATCH(E130,code_Note1!$E$13:$E$16,0)),INDEX(code_Note1!$F$16,1)),IF(B130&lt;code_Note1!$D$21,"No",IFERROR(VLOOKUP(C130,code_Note1!$D$3:$G$8,3,FALSE),""))))</f>
        <v>No</v>
      </c>
      <c r="P130" s="3" t="s">
        <v>831</v>
      </c>
    </row>
    <row r="131" spans="1:16" ht="19.5" customHeight="1">
      <c r="A131" s="2" t="s">
        <v>854</v>
      </c>
      <c r="B131" s="38">
        <v>45711</v>
      </c>
      <c r="C131" s="1">
        <v>2</v>
      </c>
      <c r="D131" s="1" t="s">
        <v>838</v>
      </c>
      <c r="E131" s="1" t="s">
        <v>21</v>
      </c>
      <c r="F131" s="8" t="s">
        <v>153</v>
      </c>
      <c r="G131" s="6">
        <v>789000</v>
      </c>
      <c r="H131" s="6"/>
      <c r="I131" s="6"/>
      <c r="J131" s="7"/>
      <c r="K131" s="73"/>
      <c r="L131" s="73"/>
      <c r="M131" s="73"/>
      <c r="N131" s="73"/>
      <c r="O131" s="3" t="str">
        <f>IF(C131="","",IF(C131=5,IFERROR(INDEX(code_Note1!$F$13:$F$16,MATCH(E131,code_Note1!$E$13:$E$16,0)),INDEX(code_Note1!$F$16,1)),IF(B131&lt;code_Note1!$D$21,"No",IFERROR(VLOOKUP(C131,code_Note1!$D$3:$G$8,3,FALSE),""))))</f>
        <v>No</v>
      </c>
      <c r="P131" s="3" t="s">
        <v>831</v>
      </c>
    </row>
    <row r="132" spans="1:16" ht="19.5" customHeight="1">
      <c r="A132" s="2" t="s">
        <v>854</v>
      </c>
      <c r="B132" s="38">
        <v>45711</v>
      </c>
      <c r="C132" s="1">
        <v>2</v>
      </c>
      <c r="D132" s="1" t="s">
        <v>838</v>
      </c>
      <c r="E132" s="1" t="s">
        <v>21</v>
      </c>
      <c r="F132" s="8" t="s">
        <v>154</v>
      </c>
      <c r="G132" s="6">
        <v>1800000</v>
      </c>
      <c r="H132" s="6"/>
      <c r="I132" s="6"/>
      <c r="J132" s="7"/>
      <c r="K132" s="73"/>
      <c r="L132" s="73"/>
      <c r="M132" s="73"/>
      <c r="N132" s="73"/>
      <c r="O132" s="3" t="str">
        <f>IF(C132="","",IF(C132=5,IFERROR(INDEX(code_Note1!$F$13:$F$16,MATCH(E132,code_Note1!$E$13:$E$16,0)),INDEX(code_Note1!$F$16,1)),IF(B132&lt;code_Note1!$D$21,"No",IFERROR(VLOOKUP(C132,code_Note1!$D$3:$G$8,3,FALSE),""))))</f>
        <v>No</v>
      </c>
      <c r="P132" s="3" t="s">
        <v>831</v>
      </c>
    </row>
    <row r="133" spans="1:16" ht="19.5" customHeight="1">
      <c r="A133" s="2" t="s">
        <v>854</v>
      </c>
      <c r="B133" s="38">
        <v>45712</v>
      </c>
      <c r="C133" s="1">
        <v>2</v>
      </c>
      <c r="D133" s="1" t="s">
        <v>838</v>
      </c>
      <c r="E133" s="1" t="s">
        <v>111</v>
      </c>
      <c r="F133" s="8" t="s">
        <v>155</v>
      </c>
      <c r="G133" s="6">
        <v>6125000</v>
      </c>
      <c r="H133" s="6"/>
      <c r="I133" s="6"/>
      <c r="J133" s="7"/>
      <c r="K133" s="73"/>
      <c r="L133" s="73"/>
      <c r="M133" s="73"/>
      <c r="N133" s="73"/>
      <c r="O133" s="3" t="str">
        <f>IF(C133="","",IF(C133=5,IFERROR(INDEX(code_Note1!$F$13:$F$16,MATCH(E133,code_Note1!$E$13:$E$16,0)),INDEX(code_Note1!$F$16,1)),IF(B133&lt;code_Note1!$D$21,"No",IFERROR(VLOOKUP(C133,code_Note1!$D$3:$G$8,3,FALSE),""))))</f>
        <v>No</v>
      </c>
      <c r="P133" s="3" t="s">
        <v>831</v>
      </c>
    </row>
    <row r="134" spans="1:16" ht="19.5" customHeight="1">
      <c r="A134" s="2" t="s">
        <v>854</v>
      </c>
      <c r="B134" s="38">
        <v>45712</v>
      </c>
      <c r="C134" s="1">
        <v>2</v>
      </c>
      <c r="D134" s="1" t="s">
        <v>838</v>
      </c>
      <c r="E134" s="1" t="s">
        <v>21</v>
      </c>
      <c r="F134" s="8" t="s">
        <v>156</v>
      </c>
      <c r="G134" s="6">
        <v>2550000</v>
      </c>
      <c r="H134" s="6"/>
      <c r="I134" s="6"/>
      <c r="J134" s="7"/>
      <c r="K134" s="73"/>
      <c r="L134" s="73"/>
      <c r="M134" s="73"/>
      <c r="N134" s="73"/>
      <c r="O134" s="3" t="str">
        <f>IF(C134="","",IF(C134=5,IFERROR(INDEX(code_Note1!$F$13:$F$16,MATCH(E134,code_Note1!$E$13:$E$16,0)),INDEX(code_Note1!$F$16,1)),IF(B134&lt;code_Note1!$D$21,"No",IFERROR(VLOOKUP(C134,code_Note1!$D$3:$G$8,3,FALSE),""))))</f>
        <v>No</v>
      </c>
      <c r="P134" s="3" t="s">
        <v>831</v>
      </c>
    </row>
    <row r="135" spans="1:16" ht="19.5" customHeight="1">
      <c r="A135" s="2" t="s">
        <v>854</v>
      </c>
      <c r="B135" s="38">
        <v>45712</v>
      </c>
      <c r="C135" s="1">
        <v>2</v>
      </c>
      <c r="D135" s="1" t="s">
        <v>838</v>
      </c>
      <c r="E135" s="1" t="s">
        <v>80</v>
      </c>
      <c r="F135" s="8" t="s">
        <v>157</v>
      </c>
      <c r="G135" s="6">
        <v>4300000</v>
      </c>
      <c r="H135" s="6"/>
      <c r="I135" s="6"/>
      <c r="J135" s="7"/>
      <c r="K135" s="73"/>
      <c r="L135" s="73"/>
      <c r="M135" s="73"/>
      <c r="N135" s="73"/>
      <c r="O135" s="3" t="str">
        <f>IF(C135="","",IF(C135=5,IFERROR(INDEX(code_Note1!$F$13:$F$16,MATCH(E135,code_Note1!$E$13:$E$16,0)),INDEX(code_Note1!$F$16,1)),IF(B135&lt;code_Note1!$D$21,"No",IFERROR(VLOOKUP(C135,code_Note1!$D$3:$G$8,3,FALSE),""))))</f>
        <v>No</v>
      </c>
      <c r="P135" s="3" t="s">
        <v>831</v>
      </c>
    </row>
    <row r="136" spans="1:16" ht="19.5" customHeight="1">
      <c r="A136" s="2" t="s">
        <v>854</v>
      </c>
      <c r="B136" s="38">
        <v>45712</v>
      </c>
      <c r="C136" s="1">
        <v>3</v>
      </c>
      <c r="D136" s="1" t="s">
        <v>823</v>
      </c>
      <c r="E136" s="1" t="s">
        <v>12</v>
      </c>
      <c r="F136" s="8" t="s">
        <v>158</v>
      </c>
      <c r="G136" s="6">
        <v>91000</v>
      </c>
      <c r="H136" s="6"/>
      <c r="I136" s="6"/>
      <c r="J136" s="7"/>
      <c r="K136" s="73"/>
      <c r="L136" s="73"/>
      <c r="M136" s="73"/>
      <c r="N136" s="73"/>
      <c r="O136" s="3" t="str">
        <f>IF(C136="","",IF(C136=5,IFERROR(INDEX(code_Note1!$F$13:$F$16,MATCH(E136,code_Note1!$E$13:$E$16,0)),INDEX(code_Note1!$F$16,1)),IF(B136&lt;code_Note1!$D$21,"No",IFERROR(VLOOKUP(C136,code_Note1!$D$3:$G$8,3,FALSE),""))))</f>
        <v>No</v>
      </c>
      <c r="P136" s="3" t="s">
        <v>832</v>
      </c>
    </row>
    <row r="137" spans="1:16" ht="19.5" customHeight="1">
      <c r="A137" s="2" t="s">
        <v>854</v>
      </c>
      <c r="B137" s="38">
        <v>45712</v>
      </c>
      <c r="C137" s="1">
        <v>2</v>
      </c>
      <c r="D137" s="1" t="s">
        <v>838</v>
      </c>
      <c r="E137" s="1" t="s">
        <v>46</v>
      </c>
      <c r="F137" s="8" t="s">
        <v>159</v>
      </c>
      <c r="G137" s="6">
        <v>1000000</v>
      </c>
      <c r="H137" s="6"/>
      <c r="I137" s="6"/>
      <c r="J137" s="7"/>
      <c r="K137" s="73"/>
      <c r="L137" s="73"/>
      <c r="M137" s="73"/>
      <c r="N137" s="73"/>
      <c r="O137" s="3" t="str">
        <f>IF(C137="","",IF(C137=5,IFERROR(INDEX(code_Note1!$F$13:$F$16,MATCH(E137,code_Note1!$E$13:$E$16,0)),INDEX(code_Note1!$F$16,1)),IF(B137&lt;code_Note1!$D$21,"No",IFERROR(VLOOKUP(C137,code_Note1!$D$3:$G$8,3,FALSE),""))))</f>
        <v>No</v>
      </c>
      <c r="P137" s="3" t="s">
        <v>831</v>
      </c>
    </row>
    <row r="138" spans="1:16" ht="19.5" customHeight="1">
      <c r="A138" s="2" t="s">
        <v>854</v>
      </c>
      <c r="B138" s="38">
        <v>45712</v>
      </c>
      <c r="C138" s="1">
        <v>2</v>
      </c>
      <c r="D138" s="1" t="s">
        <v>838</v>
      </c>
      <c r="E138" s="1" t="s">
        <v>46</v>
      </c>
      <c r="F138" s="8" t="s">
        <v>160</v>
      </c>
      <c r="G138" s="6">
        <v>600000</v>
      </c>
      <c r="H138" s="6"/>
      <c r="I138" s="6"/>
      <c r="J138" s="7"/>
      <c r="K138" s="73"/>
      <c r="L138" s="73"/>
      <c r="M138" s="73"/>
      <c r="N138" s="73"/>
      <c r="O138" s="3" t="str">
        <f>IF(C138="","",IF(C138=5,IFERROR(INDEX(code_Note1!$F$13:$F$16,MATCH(E138,code_Note1!$E$13:$E$16,0)),INDEX(code_Note1!$F$16,1)),IF(B138&lt;code_Note1!$D$21,"No",IFERROR(VLOOKUP(C138,code_Note1!$D$3:$G$8,3,FALSE),""))))</f>
        <v>No</v>
      </c>
      <c r="P138" s="3" t="s">
        <v>831</v>
      </c>
    </row>
    <row r="139" spans="1:16" ht="19.5" customHeight="1">
      <c r="A139" s="2" t="s">
        <v>854</v>
      </c>
      <c r="B139" s="38">
        <v>45714</v>
      </c>
      <c r="C139" s="1">
        <v>2</v>
      </c>
      <c r="D139" s="1" t="s">
        <v>838</v>
      </c>
      <c r="E139" s="1" t="s">
        <v>80</v>
      </c>
      <c r="F139" s="8" t="s">
        <v>161</v>
      </c>
      <c r="G139" s="6">
        <v>9850000</v>
      </c>
      <c r="H139" s="6"/>
      <c r="I139" s="6"/>
      <c r="J139" s="7"/>
      <c r="K139" s="73"/>
      <c r="L139" s="73"/>
      <c r="M139" s="73"/>
      <c r="N139" s="73"/>
      <c r="O139" s="3" t="str">
        <f>IF(C139="","",IF(C139=5,IFERROR(INDEX(code_Note1!$F$13:$F$16,MATCH(E139,code_Note1!$E$13:$E$16,0)),INDEX(code_Note1!$F$16,1)),IF(B139&lt;code_Note1!$D$21,"No",IFERROR(VLOOKUP(C139,code_Note1!$D$3:$G$8,3,FALSE),""))))</f>
        <v>No</v>
      </c>
      <c r="P139" s="3" t="s">
        <v>831</v>
      </c>
    </row>
    <row r="140" spans="1:16" ht="19.5" customHeight="1">
      <c r="A140" s="2" t="s">
        <v>854</v>
      </c>
      <c r="B140" s="38">
        <v>45714</v>
      </c>
      <c r="C140" s="1">
        <v>3</v>
      </c>
      <c r="D140" s="1" t="s">
        <v>823</v>
      </c>
      <c r="E140" s="1" t="s">
        <v>12</v>
      </c>
      <c r="F140" s="8" t="s">
        <v>162</v>
      </c>
      <c r="G140" s="6">
        <v>400000</v>
      </c>
      <c r="H140" s="6"/>
      <c r="I140" s="6"/>
      <c r="J140" s="7"/>
      <c r="K140" s="73"/>
      <c r="L140" s="73"/>
      <c r="M140" s="73"/>
      <c r="N140" s="73"/>
      <c r="O140" s="3" t="str">
        <f>IF(C140="","",IF(C140=5,IFERROR(INDEX(code_Note1!$F$13:$F$16,MATCH(E140,code_Note1!$E$13:$E$16,0)),INDEX(code_Note1!$F$16,1)),IF(B140&lt;code_Note1!$D$21,"No",IFERROR(VLOOKUP(C140,code_Note1!$D$3:$G$8,3,FALSE),""))))</f>
        <v>No</v>
      </c>
      <c r="P140" s="3" t="s">
        <v>832</v>
      </c>
    </row>
    <row r="141" spans="1:16" ht="19.5" customHeight="1">
      <c r="A141" s="2" t="s">
        <v>854</v>
      </c>
      <c r="B141" s="38">
        <v>45714</v>
      </c>
      <c r="C141" s="1">
        <v>3</v>
      </c>
      <c r="D141" s="1" t="s">
        <v>823</v>
      </c>
      <c r="E141" s="1" t="s">
        <v>12</v>
      </c>
      <c r="F141" s="8" t="s">
        <v>163</v>
      </c>
      <c r="G141" s="6">
        <v>35000</v>
      </c>
      <c r="H141" s="6"/>
      <c r="I141" s="6"/>
      <c r="J141" s="7"/>
      <c r="K141" s="73"/>
      <c r="L141" s="73"/>
      <c r="M141" s="73"/>
      <c r="N141" s="73"/>
      <c r="O141" s="3" t="str">
        <f>IF(C141="","",IF(C141=5,IFERROR(INDEX(code_Note1!$F$13:$F$16,MATCH(E141,code_Note1!$E$13:$E$16,0)),INDEX(code_Note1!$F$16,1)),IF(B141&lt;code_Note1!$D$21,"No",IFERROR(VLOOKUP(C141,code_Note1!$D$3:$G$8,3,FALSE),""))))</f>
        <v>No</v>
      </c>
      <c r="P141" s="3" t="s">
        <v>832</v>
      </c>
    </row>
    <row r="142" spans="1:16" ht="19.5" customHeight="1">
      <c r="A142" s="2" t="s">
        <v>854</v>
      </c>
      <c r="B142" s="38">
        <v>45715</v>
      </c>
      <c r="C142" s="1">
        <v>2</v>
      </c>
      <c r="D142" s="1" t="s">
        <v>838</v>
      </c>
      <c r="E142" s="1" t="s">
        <v>21</v>
      </c>
      <c r="F142" s="8" t="s">
        <v>164</v>
      </c>
      <c r="G142" s="6">
        <v>3177171</v>
      </c>
      <c r="H142" s="6"/>
      <c r="I142" s="6"/>
      <c r="J142" s="7"/>
      <c r="K142" s="73"/>
      <c r="L142" s="73"/>
      <c r="M142" s="73"/>
      <c r="N142" s="73"/>
      <c r="O142" s="3" t="str">
        <f>IF(C142="","",IF(C142=5,IFERROR(INDEX(code_Note1!$F$13:$F$16,MATCH(E142,code_Note1!$E$13:$E$16,0)),INDEX(code_Note1!$F$16,1)),IF(B142&lt;code_Note1!$D$21,"No",IFERROR(VLOOKUP(C142,code_Note1!$D$3:$G$8,3,FALSE),""))))</f>
        <v>No</v>
      </c>
      <c r="P142" s="3" t="s">
        <v>831</v>
      </c>
    </row>
    <row r="143" spans="1:16" ht="19.5" customHeight="1">
      <c r="A143" s="2" t="s">
        <v>854</v>
      </c>
      <c r="B143" s="38">
        <v>45715</v>
      </c>
      <c r="C143" s="1">
        <v>2</v>
      </c>
      <c r="D143" s="1" t="s">
        <v>838</v>
      </c>
      <c r="E143" s="1" t="s">
        <v>166</v>
      </c>
      <c r="F143" s="8" t="s">
        <v>165</v>
      </c>
      <c r="G143" s="6">
        <v>3300000</v>
      </c>
      <c r="H143" s="6"/>
      <c r="I143" s="6"/>
      <c r="J143" s="7"/>
      <c r="K143" s="73"/>
      <c r="L143" s="73"/>
      <c r="M143" s="73"/>
      <c r="N143" s="73"/>
      <c r="O143" s="3" t="str">
        <f>IF(C143="","",IF(C143=5,IFERROR(INDEX(code_Note1!$F$13:$F$16,MATCH(E143,code_Note1!$E$13:$E$16,0)),INDEX(code_Note1!$F$16,1)),IF(B143&lt;code_Note1!$D$21,"No",IFERROR(VLOOKUP(C143,code_Note1!$D$3:$G$8,3,FALSE),""))))</f>
        <v>No</v>
      </c>
      <c r="P143" s="3" t="s">
        <v>831</v>
      </c>
    </row>
    <row r="144" spans="1:16" ht="19.5" customHeight="1">
      <c r="A144" s="2" t="s">
        <v>854</v>
      </c>
      <c r="B144" s="38">
        <v>45716</v>
      </c>
      <c r="C144" s="1">
        <v>2</v>
      </c>
      <c r="D144" s="1" t="s">
        <v>838</v>
      </c>
      <c r="E144" s="1" t="s">
        <v>46</v>
      </c>
      <c r="F144" s="8" t="s">
        <v>130</v>
      </c>
      <c r="G144" s="6">
        <v>2500000</v>
      </c>
      <c r="H144" s="6"/>
      <c r="I144" s="6"/>
      <c r="J144" s="7"/>
      <c r="K144" s="73"/>
      <c r="L144" s="73"/>
      <c r="M144" s="73"/>
      <c r="N144" s="73"/>
      <c r="O144" s="3" t="str">
        <f>IF(C144="","",IF(C144=5,IFERROR(INDEX(code_Note1!$F$13:$F$16,MATCH(E144,code_Note1!$E$13:$E$16,0)),INDEX(code_Note1!$F$16,1)),IF(B144&lt;code_Note1!$D$21,"No",IFERROR(VLOOKUP(C144,code_Note1!$D$3:$G$8,3,FALSE),""))))</f>
        <v>No</v>
      </c>
      <c r="P144" s="3" t="s">
        <v>831</v>
      </c>
    </row>
    <row r="145" spans="1:16" ht="19.5" customHeight="1">
      <c r="A145" s="2" t="s">
        <v>854</v>
      </c>
      <c r="B145" s="38">
        <v>45716</v>
      </c>
      <c r="C145" s="1">
        <v>2</v>
      </c>
      <c r="D145" s="1" t="s">
        <v>838</v>
      </c>
      <c r="E145" s="1" t="s">
        <v>42</v>
      </c>
      <c r="F145" s="8" t="s">
        <v>42</v>
      </c>
      <c r="G145" s="6">
        <v>3150000</v>
      </c>
      <c r="H145" s="6"/>
      <c r="I145" s="6"/>
      <c r="J145" s="7"/>
      <c r="K145" s="73"/>
      <c r="L145" s="73"/>
      <c r="M145" s="73"/>
      <c r="N145" s="73"/>
      <c r="O145" s="3" t="str">
        <f>IF(C145="","",IF(C145=5,IFERROR(INDEX(code_Note1!$F$13:$F$16,MATCH(E145,code_Note1!$E$13:$E$16,0)),INDEX(code_Note1!$F$16,1)),IF(B145&lt;code_Note1!$D$21,"No",IFERROR(VLOOKUP(C145,code_Note1!$D$3:$G$8,3,FALSE),""))))</f>
        <v>No</v>
      </c>
      <c r="P145" s="3" t="s">
        <v>831</v>
      </c>
    </row>
    <row r="146" spans="1:16" ht="19.5" customHeight="1">
      <c r="A146" s="2" t="s">
        <v>854</v>
      </c>
      <c r="B146" s="38">
        <v>45717</v>
      </c>
      <c r="C146" s="1">
        <v>2</v>
      </c>
      <c r="D146" s="1" t="s">
        <v>838</v>
      </c>
      <c r="E146" s="1" t="s">
        <v>34</v>
      </c>
      <c r="F146" s="8" t="s">
        <v>167</v>
      </c>
      <c r="G146" s="6">
        <v>0</v>
      </c>
      <c r="H146" s="6">
        <v>1995</v>
      </c>
      <c r="I146" s="6"/>
      <c r="J146" s="7"/>
      <c r="K146" s="73"/>
      <c r="L146" s="73"/>
      <c r="M146" s="73"/>
      <c r="N146" s="73"/>
      <c r="O146" s="3" t="str">
        <f>IF(C146="","",IF(C146=5,IFERROR(INDEX(code_Note1!$F$13:$F$16,MATCH(E146,code_Note1!$E$13:$E$16,0)),INDEX(code_Note1!$F$16,1)),IF(B146&lt;code_Note1!$D$21,"No",IFERROR(VLOOKUP(C146,code_Note1!$D$3:$G$8,3,FALSE),""))))</f>
        <v>No</v>
      </c>
      <c r="P146" s="3" t="s">
        <v>831</v>
      </c>
    </row>
    <row r="147" spans="1:16" ht="19.5" customHeight="1">
      <c r="A147" s="2" t="s">
        <v>854</v>
      </c>
      <c r="B147" s="38">
        <v>45717</v>
      </c>
      <c r="C147" s="1">
        <v>3</v>
      </c>
      <c r="D147" s="1" t="s">
        <v>823</v>
      </c>
      <c r="E147" s="1" t="s">
        <v>12</v>
      </c>
      <c r="F147" s="8" t="s">
        <v>168</v>
      </c>
      <c r="G147" s="6">
        <v>3500000</v>
      </c>
      <c r="H147" s="6"/>
      <c r="I147" s="6"/>
      <c r="J147" s="7"/>
      <c r="K147" s="73"/>
      <c r="L147" s="73"/>
      <c r="M147" s="73"/>
      <c r="N147" s="73"/>
      <c r="O147" s="3" t="str">
        <f>IF(C147="","",IF(C147=5,IFERROR(INDEX(code_Note1!$F$13:$F$16,MATCH(E147,code_Note1!$E$13:$E$16,0)),INDEX(code_Note1!$F$16,1)),IF(B147&lt;code_Note1!$D$21,"No",IFERROR(VLOOKUP(C147,code_Note1!$D$3:$G$8,3,FALSE),""))))</f>
        <v>No</v>
      </c>
      <c r="P147" s="3" t="s">
        <v>832</v>
      </c>
    </row>
    <row r="148" spans="1:16" ht="19.5" customHeight="1">
      <c r="A148" s="2" t="s">
        <v>854</v>
      </c>
      <c r="B148" s="38">
        <v>45718</v>
      </c>
      <c r="C148" s="1">
        <v>2</v>
      </c>
      <c r="D148" s="1" t="s">
        <v>838</v>
      </c>
      <c r="E148" s="1" t="s">
        <v>46</v>
      </c>
      <c r="F148" s="8" t="s">
        <v>169</v>
      </c>
      <c r="G148" s="6">
        <v>750000</v>
      </c>
      <c r="H148" s="6"/>
      <c r="I148" s="6"/>
      <c r="J148" s="7"/>
      <c r="K148" s="73"/>
      <c r="L148" s="73"/>
      <c r="M148" s="73"/>
      <c r="N148" s="73"/>
      <c r="O148" s="3" t="str">
        <f>IF(C148="","",IF(C148=5,IFERROR(INDEX(code_Note1!$F$13:$F$16,MATCH(E148,code_Note1!$E$13:$E$16,0)),INDEX(code_Note1!$F$16,1)),IF(B148&lt;code_Note1!$D$21,"No",IFERROR(VLOOKUP(C148,code_Note1!$D$3:$G$8,3,FALSE),""))))</f>
        <v>No</v>
      </c>
      <c r="P148" s="3" t="s">
        <v>831</v>
      </c>
    </row>
    <row r="149" spans="1:16" ht="19.5" customHeight="1">
      <c r="A149" s="2" t="s">
        <v>854</v>
      </c>
      <c r="B149" s="38">
        <v>45719</v>
      </c>
      <c r="C149" s="1">
        <v>2</v>
      </c>
      <c r="D149" s="1" t="s">
        <v>838</v>
      </c>
      <c r="E149" s="1" t="s">
        <v>171</v>
      </c>
      <c r="F149" s="8" t="s">
        <v>170</v>
      </c>
      <c r="G149" s="6">
        <v>1487000</v>
      </c>
      <c r="H149" s="6"/>
      <c r="I149" s="6"/>
      <c r="J149" s="7"/>
      <c r="K149" s="73"/>
      <c r="L149" s="73"/>
      <c r="M149" s="73"/>
      <c r="N149" s="73"/>
      <c r="O149" s="3" t="str">
        <f>IF(C149="","",IF(C149=5,IFERROR(INDEX(code_Note1!$F$13:$F$16,MATCH(E149,code_Note1!$E$13:$E$16,0)),INDEX(code_Note1!$F$16,1)),IF(B149&lt;code_Note1!$D$21,"No",IFERROR(VLOOKUP(C149,code_Note1!$D$3:$G$8,3,FALSE),""))))</f>
        <v>No</v>
      </c>
      <c r="P149" s="3" t="s">
        <v>831</v>
      </c>
    </row>
    <row r="150" spans="1:16" ht="19.5" customHeight="1">
      <c r="A150" s="2" t="s">
        <v>854</v>
      </c>
      <c r="B150" s="38">
        <v>45719</v>
      </c>
      <c r="C150" s="1">
        <v>2</v>
      </c>
      <c r="D150" s="1" t="s">
        <v>838</v>
      </c>
      <c r="E150" s="1" t="s">
        <v>171</v>
      </c>
      <c r="F150" s="8" t="s">
        <v>170</v>
      </c>
      <c r="G150" s="6">
        <v>3000000</v>
      </c>
      <c r="H150" s="6"/>
      <c r="I150" s="6"/>
      <c r="J150" s="7"/>
      <c r="K150" s="73"/>
      <c r="L150" s="73"/>
      <c r="M150" s="73"/>
      <c r="N150" s="73"/>
      <c r="O150" s="3" t="str">
        <f>IF(C150="","",IF(C150=5,IFERROR(INDEX(code_Note1!$F$13:$F$16,MATCH(E150,code_Note1!$E$13:$E$16,0)),INDEX(code_Note1!$F$16,1)),IF(B150&lt;code_Note1!$D$21,"No",IFERROR(VLOOKUP(C150,code_Note1!$D$3:$G$8,3,FALSE),""))))</f>
        <v>No</v>
      </c>
      <c r="P150" s="3" t="s">
        <v>831</v>
      </c>
    </row>
    <row r="151" spans="1:16" ht="19.5" customHeight="1">
      <c r="A151" s="2" t="s">
        <v>854</v>
      </c>
      <c r="B151" s="38">
        <v>45720</v>
      </c>
      <c r="C151" s="1">
        <v>3</v>
      </c>
      <c r="D151" s="1" t="s">
        <v>823</v>
      </c>
      <c r="E151" s="1" t="s">
        <v>12</v>
      </c>
      <c r="F151" s="8" t="s">
        <v>66</v>
      </c>
      <c r="G151" s="6">
        <v>252000</v>
      </c>
      <c r="H151" s="6"/>
      <c r="I151" s="6"/>
      <c r="J151" s="7"/>
      <c r="K151" s="73"/>
      <c r="L151" s="73"/>
      <c r="M151" s="73"/>
      <c r="N151" s="73"/>
      <c r="O151" s="3" t="str">
        <f>IF(C151="","",IF(C151=5,IFERROR(INDEX(code_Note1!$F$13:$F$16,MATCH(E151,code_Note1!$E$13:$E$16,0)),INDEX(code_Note1!$F$16,1)),IF(B151&lt;code_Note1!$D$21,"No",IFERROR(VLOOKUP(C151,code_Note1!$D$3:$G$8,3,FALSE),""))))</f>
        <v>No</v>
      </c>
      <c r="P151" s="3" t="s">
        <v>832</v>
      </c>
    </row>
    <row r="152" spans="1:16" ht="19.5" customHeight="1">
      <c r="A152" s="2" t="s">
        <v>854</v>
      </c>
      <c r="B152" s="38">
        <v>45720</v>
      </c>
      <c r="C152" s="1">
        <v>2</v>
      </c>
      <c r="D152" s="1" t="s">
        <v>838</v>
      </c>
      <c r="E152" s="1" t="s">
        <v>171</v>
      </c>
      <c r="F152" s="8" t="s">
        <v>170</v>
      </c>
      <c r="G152" s="6">
        <v>4750000</v>
      </c>
      <c r="H152" s="6"/>
      <c r="I152" s="6"/>
      <c r="J152" s="7"/>
      <c r="K152" s="73"/>
      <c r="L152" s="73"/>
      <c r="M152" s="73"/>
      <c r="N152" s="73"/>
      <c r="O152" s="3" t="str">
        <f>IF(C152="","",IF(C152=5,IFERROR(INDEX(code_Note1!$F$13:$F$16,MATCH(E152,code_Note1!$E$13:$E$16,0)),INDEX(code_Note1!$F$16,1)),IF(B152&lt;code_Note1!$D$21,"No",IFERROR(VLOOKUP(C152,code_Note1!$D$3:$G$8,3,FALSE),""))))</f>
        <v>No</v>
      </c>
      <c r="P152" s="3" t="s">
        <v>831</v>
      </c>
    </row>
    <row r="153" spans="1:16" ht="19.5" customHeight="1">
      <c r="A153" s="2" t="s">
        <v>854</v>
      </c>
      <c r="B153" s="38">
        <v>45720</v>
      </c>
      <c r="C153" s="1">
        <v>3</v>
      </c>
      <c r="D153" s="1" t="s">
        <v>823</v>
      </c>
      <c r="E153" s="1" t="s">
        <v>38</v>
      </c>
      <c r="F153" s="8" t="s">
        <v>172</v>
      </c>
      <c r="G153" s="6">
        <v>125000</v>
      </c>
      <c r="H153" s="6"/>
      <c r="I153" s="6"/>
      <c r="J153" s="7"/>
      <c r="K153" s="73"/>
      <c r="L153" s="73"/>
      <c r="M153" s="73"/>
      <c r="N153" s="73"/>
      <c r="O153" s="3" t="str">
        <f>IF(C153="","",IF(C153=5,IFERROR(INDEX(code_Note1!$F$13:$F$16,MATCH(E153,code_Note1!$E$13:$E$16,0)),INDEX(code_Note1!$F$16,1)),IF(B153&lt;code_Note1!$D$21,"No",IFERROR(VLOOKUP(C153,code_Note1!$D$3:$G$8,3,FALSE),""))))</f>
        <v>No</v>
      </c>
      <c r="P153" s="3" t="s">
        <v>832</v>
      </c>
    </row>
    <row r="154" spans="1:16" ht="19.5" customHeight="1">
      <c r="A154" s="2" t="s">
        <v>854</v>
      </c>
      <c r="B154" s="38">
        <v>45720</v>
      </c>
      <c r="C154" s="1">
        <v>3</v>
      </c>
      <c r="D154" s="1" t="s">
        <v>823</v>
      </c>
      <c r="E154" s="1" t="s">
        <v>38</v>
      </c>
      <c r="F154" s="8" t="s">
        <v>173</v>
      </c>
      <c r="G154" s="6">
        <v>100000</v>
      </c>
      <c r="H154" s="6"/>
      <c r="I154" s="6"/>
      <c r="J154" s="7"/>
      <c r="K154" s="73"/>
      <c r="L154" s="73"/>
      <c r="M154" s="73"/>
      <c r="N154" s="73"/>
      <c r="O154" s="3" t="str">
        <f>IF(C154="","",IF(C154=5,IFERROR(INDEX(code_Note1!$F$13:$F$16,MATCH(E154,code_Note1!$E$13:$E$16,0)),INDEX(code_Note1!$F$16,1)),IF(B154&lt;code_Note1!$D$21,"No",IFERROR(VLOOKUP(C154,code_Note1!$D$3:$G$8,3,FALSE),""))))</f>
        <v>No</v>
      </c>
      <c r="P154" s="3" t="s">
        <v>832</v>
      </c>
    </row>
    <row r="155" spans="1:16" ht="19.5" customHeight="1">
      <c r="A155" s="2" t="s">
        <v>854</v>
      </c>
      <c r="B155" s="38">
        <v>45720</v>
      </c>
      <c r="C155" s="1">
        <v>3</v>
      </c>
      <c r="D155" s="1" t="s">
        <v>823</v>
      </c>
      <c r="E155" s="1" t="s">
        <v>12</v>
      </c>
      <c r="F155" s="8" t="s">
        <v>174</v>
      </c>
      <c r="G155" s="6">
        <v>166000</v>
      </c>
      <c r="H155" s="6"/>
      <c r="I155" s="6"/>
      <c r="J155" s="7"/>
      <c r="K155" s="73"/>
      <c r="L155" s="73"/>
      <c r="M155" s="73"/>
      <c r="N155" s="73"/>
      <c r="O155" s="3" t="str">
        <f>IF(C155="","",IF(C155=5,IFERROR(INDEX(code_Note1!$F$13:$F$16,MATCH(E155,code_Note1!$E$13:$E$16,0)),INDEX(code_Note1!$F$16,1)),IF(B155&lt;code_Note1!$D$21,"No",IFERROR(VLOOKUP(C155,code_Note1!$D$3:$G$8,3,FALSE),""))))</f>
        <v>No</v>
      </c>
      <c r="P155" s="3" t="s">
        <v>832</v>
      </c>
    </row>
    <row r="156" spans="1:16" ht="19.5" customHeight="1">
      <c r="A156" s="2" t="s">
        <v>854</v>
      </c>
      <c r="B156" s="38">
        <v>45721</v>
      </c>
      <c r="C156" s="1">
        <v>2</v>
      </c>
      <c r="D156" s="1" t="s">
        <v>838</v>
      </c>
      <c r="E156" s="1" t="s">
        <v>46</v>
      </c>
      <c r="F156" s="8" t="s">
        <v>175</v>
      </c>
      <c r="G156" s="6">
        <v>6000000</v>
      </c>
      <c r="H156" s="6"/>
      <c r="I156" s="6"/>
      <c r="J156" s="7"/>
      <c r="K156" s="73"/>
      <c r="L156" s="73"/>
      <c r="M156" s="73"/>
      <c r="N156" s="73"/>
      <c r="O156" s="3" t="str">
        <f>IF(C156="","",IF(C156=5,IFERROR(INDEX(code_Note1!$F$13:$F$16,MATCH(E156,code_Note1!$E$13:$E$16,0)),INDEX(code_Note1!$F$16,1)),IF(B156&lt;code_Note1!$D$21,"No",IFERROR(VLOOKUP(C156,code_Note1!$D$3:$G$8,3,FALSE),""))))</f>
        <v>No</v>
      </c>
      <c r="P156" s="3" t="s">
        <v>831</v>
      </c>
    </row>
    <row r="157" spans="1:16" ht="19.5" customHeight="1">
      <c r="A157" s="2" t="s">
        <v>854</v>
      </c>
      <c r="B157" s="38">
        <v>45721</v>
      </c>
      <c r="C157" s="1">
        <v>2</v>
      </c>
      <c r="D157" s="1" t="s">
        <v>838</v>
      </c>
      <c r="E157" s="1" t="s">
        <v>46</v>
      </c>
      <c r="F157" s="8" t="s">
        <v>176</v>
      </c>
      <c r="G157" s="6">
        <v>700000</v>
      </c>
      <c r="H157" s="6"/>
      <c r="I157" s="6"/>
      <c r="J157" s="7"/>
      <c r="K157" s="73"/>
      <c r="L157" s="73"/>
      <c r="M157" s="73"/>
      <c r="N157" s="73"/>
      <c r="O157" s="3" t="str">
        <f>IF(C157="","",IF(C157=5,IFERROR(INDEX(code_Note1!$F$13:$F$16,MATCH(E157,code_Note1!$E$13:$E$16,0)),INDEX(code_Note1!$F$16,1)),IF(B157&lt;code_Note1!$D$21,"No",IFERROR(VLOOKUP(C157,code_Note1!$D$3:$G$8,3,FALSE),""))))</f>
        <v>No</v>
      </c>
      <c r="P157" s="3" t="s">
        <v>831</v>
      </c>
    </row>
    <row r="158" spans="1:16" ht="19.5" customHeight="1">
      <c r="A158" s="2" t="s">
        <v>854</v>
      </c>
      <c r="B158" s="38">
        <v>45721</v>
      </c>
      <c r="C158" s="1">
        <v>2</v>
      </c>
      <c r="D158" s="1" t="s">
        <v>838</v>
      </c>
      <c r="E158" s="1" t="s">
        <v>46</v>
      </c>
      <c r="F158" s="8" t="s">
        <v>177</v>
      </c>
      <c r="G158" s="6">
        <v>4000000</v>
      </c>
      <c r="H158" s="6"/>
      <c r="I158" s="6"/>
      <c r="J158" s="7"/>
      <c r="K158" s="73"/>
      <c r="L158" s="73"/>
      <c r="M158" s="73"/>
      <c r="N158" s="73"/>
      <c r="O158" s="3" t="str">
        <f>IF(C158="","",IF(C158=5,IFERROR(INDEX(code_Note1!$F$13:$F$16,MATCH(E158,code_Note1!$E$13:$E$16,0)),INDEX(code_Note1!$F$16,1)),IF(B158&lt;code_Note1!$D$21,"No",IFERROR(VLOOKUP(C158,code_Note1!$D$3:$G$8,3,FALSE),""))))</f>
        <v>No</v>
      </c>
      <c r="P158" s="3" t="s">
        <v>831</v>
      </c>
    </row>
    <row r="159" spans="1:16" ht="19.5" customHeight="1">
      <c r="A159" s="2" t="s">
        <v>854</v>
      </c>
      <c r="B159" s="38">
        <v>45721</v>
      </c>
      <c r="C159" s="1">
        <v>3</v>
      </c>
      <c r="D159" s="1" t="s">
        <v>823</v>
      </c>
      <c r="E159" s="1" t="s">
        <v>12</v>
      </c>
      <c r="F159" s="8" t="s">
        <v>178</v>
      </c>
      <c r="G159" s="6">
        <v>537000</v>
      </c>
      <c r="H159" s="6"/>
      <c r="I159" s="6"/>
      <c r="J159" s="7"/>
      <c r="K159" s="73"/>
      <c r="L159" s="73"/>
      <c r="M159" s="73"/>
      <c r="N159" s="73"/>
      <c r="O159" s="3" t="str">
        <f>IF(C159="","",IF(C159=5,IFERROR(INDEX(code_Note1!$F$13:$F$16,MATCH(E159,code_Note1!$E$13:$E$16,0)),INDEX(code_Note1!$F$16,1)),IF(B159&lt;code_Note1!$D$21,"No",IFERROR(VLOOKUP(C159,code_Note1!$D$3:$G$8,3,FALSE),""))))</f>
        <v>No</v>
      </c>
      <c r="P159" s="3" t="s">
        <v>832</v>
      </c>
    </row>
    <row r="160" spans="1:16" ht="19.5" customHeight="1">
      <c r="A160" s="2" t="s">
        <v>854</v>
      </c>
      <c r="B160" s="38">
        <v>45721</v>
      </c>
      <c r="C160" s="1">
        <v>3</v>
      </c>
      <c r="D160" s="1" t="s">
        <v>823</v>
      </c>
      <c r="E160" s="1" t="s">
        <v>12</v>
      </c>
      <c r="F160" s="8" t="s">
        <v>179</v>
      </c>
      <c r="G160" s="6">
        <v>335000</v>
      </c>
      <c r="H160" s="6"/>
      <c r="I160" s="6"/>
      <c r="J160" s="7"/>
      <c r="K160" s="73"/>
      <c r="L160" s="73"/>
      <c r="M160" s="73"/>
      <c r="N160" s="73"/>
      <c r="O160" s="3" t="str">
        <f>IF(C160="","",IF(C160=5,IFERROR(INDEX(code_Note1!$F$13:$F$16,MATCH(E160,code_Note1!$E$13:$E$16,0)),INDEX(code_Note1!$F$16,1)),IF(B160&lt;code_Note1!$D$21,"No",IFERROR(VLOOKUP(C160,code_Note1!$D$3:$G$8,3,FALSE),""))))</f>
        <v>No</v>
      </c>
      <c r="P160" s="3" t="s">
        <v>832</v>
      </c>
    </row>
    <row r="161" spans="1:16" ht="19.5" customHeight="1">
      <c r="A161" s="2" t="s">
        <v>854</v>
      </c>
      <c r="B161" s="38">
        <v>45721</v>
      </c>
      <c r="C161" s="1">
        <v>3</v>
      </c>
      <c r="D161" s="1" t="s">
        <v>823</v>
      </c>
      <c r="E161" s="1" t="s">
        <v>12</v>
      </c>
      <c r="F161" s="8" t="s">
        <v>180</v>
      </c>
      <c r="G161" s="6">
        <v>400000</v>
      </c>
      <c r="H161" s="6"/>
      <c r="I161" s="6"/>
      <c r="J161" s="7"/>
      <c r="K161" s="73"/>
      <c r="L161" s="73"/>
      <c r="M161" s="73"/>
      <c r="N161" s="73"/>
      <c r="O161" s="3" t="str">
        <f>IF(C161="","",IF(C161=5,IFERROR(INDEX(code_Note1!$F$13:$F$16,MATCH(E161,code_Note1!$E$13:$E$16,0)),INDEX(code_Note1!$F$16,1)),IF(B161&lt;code_Note1!$D$21,"No",IFERROR(VLOOKUP(C161,code_Note1!$D$3:$G$8,3,FALSE),""))))</f>
        <v>No</v>
      </c>
      <c r="P161" s="3" t="s">
        <v>832</v>
      </c>
    </row>
    <row r="162" spans="1:16" ht="19.5" customHeight="1">
      <c r="A162" s="2" t="s">
        <v>854</v>
      </c>
      <c r="B162" s="38">
        <v>45721</v>
      </c>
      <c r="C162" s="1">
        <v>3</v>
      </c>
      <c r="D162" s="1" t="s">
        <v>823</v>
      </c>
      <c r="E162" s="1" t="s">
        <v>12</v>
      </c>
      <c r="F162" s="8" t="s">
        <v>181</v>
      </c>
      <c r="G162" s="6">
        <v>100000</v>
      </c>
      <c r="H162" s="6"/>
      <c r="I162" s="6"/>
      <c r="J162" s="7"/>
      <c r="K162" s="73"/>
      <c r="L162" s="73"/>
      <c r="M162" s="73"/>
      <c r="N162" s="73"/>
      <c r="O162" s="3" t="str">
        <f>IF(C162="","",IF(C162=5,IFERROR(INDEX(code_Note1!$F$13:$F$16,MATCH(E162,code_Note1!$E$13:$E$16,0)),INDEX(code_Note1!$F$16,1)),IF(B162&lt;code_Note1!$D$21,"No",IFERROR(VLOOKUP(C162,code_Note1!$D$3:$G$8,3,FALSE),""))))</f>
        <v>No</v>
      </c>
      <c r="P162" s="3" t="s">
        <v>832</v>
      </c>
    </row>
    <row r="163" spans="1:16" ht="19.5" customHeight="1">
      <c r="A163" s="2" t="s">
        <v>854</v>
      </c>
      <c r="B163" s="38">
        <v>45721</v>
      </c>
      <c r="C163" s="1">
        <v>3</v>
      </c>
      <c r="D163" s="1" t="s">
        <v>823</v>
      </c>
      <c r="E163" s="1" t="s">
        <v>44</v>
      </c>
      <c r="F163" s="8" t="s">
        <v>182</v>
      </c>
      <c r="G163" s="6">
        <v>260000</v>
      </c>
      <c r="H163" s="6"/>
      <c r="I163" s="6"/>
      <c r="J163" s="7"/>
      <c r="K163" s="73"/>
      <c r="L163" s="73"/>
      <c r="M163" s="73"/>
      <c r="N163" s="73"/>
      <c r="O163" s="3" t="str">
        <f>IF(C163="","",IF(C163=5,IFERROR(INDEX(code_Note1!$F$13:$F$16,MATCH(E163,code_Note1!$E$13:$E$16,0)),INDEX(code_Note1!$F$16,1)),IF(B163&lt;code_Note1!$D$21,"No",IFERROR(VLOOKUP(C163,code_Note1!$D$3:$G$8,3,FALSE),""))))</f>
        <v>No</v>
      </c>
      <c r="P163" s="3" t="s">
        <v>832</v>
      </c>
    </row>
    <row r="164" spans="1:16" ht="19.5" customHeight="1">
      <c r="A164" s="2" t="s">
        <v>854</v>
      </c>
      <c r="B164" s="38">
        <v>45722</v>
      </c>
      <c r="C164" s="1">
        <v>2</v>
      </c>
      <c r="D164" s="1" t="s">
        <v>838</v>
      </c>
      <c r="E164" s="1" t="s">
        <v>21</v>
      </c>
      <c r="F164" s="8" t="s">
        <v>183</v>
      </c>
      <c r="G164" s="6">
        <v>117000</v>
      </c>
      <c r="H164" s="6"/>
      <c r="I164" s="6"/>
      <c r="J164" s="7"/>
      <c r="K164" s="73"/>
      <c r="L164" s="73"/>
      <c r="M164" s="73"/>
      <c r="N164" s="73"/>
      <c r="O164" s="3" t="str">
        <f>IF(C164="","",IF(C164=5,IFERROR(INDEX(code_Note1!$F$13:$F$16,MATCH(E164,code_Note1!$E$13:$E$16,0)),INDEX(code_Note1!$F$16,1)),IF(B164&lt;code_Note1!$D$21,"No",IFERROR(VLOOKUP(C164,code_Note1!$D$3:$G$8,3,FALSE),""))))</f>
        <v>No</v>
      </c>
      <c r="P164" s="3" t="s">
        <v>831</v>
      </c>
    </row>
    <row r="165" spans="1:16" ht="19.5" customHeight="1">
      <c r="A165" s="2" t="s">
        <v>854</v>
      </c>
      <c r="B165" s="38">
        <v>45722</v>
      </c>
      <c r="C165" s="1">
        <v>2</v>
      </c>
      <c r="D165" s="1" t="s">
        <v>838</v>
      </c>
      <c r="E165" s="1" t="s">
        <v>171</v>
      </c>
      <c r="F165" s="8" t="s">
        <v>184</v>
      </c>
      <c r="G165" s="6">
        <v>500000</v>
      </c>
      <c r="H165" s="6"/>
      <c r="I165" s="6">
        <v>5800</v>
      </c>
      <c r="J165" s="7"/>
      <c r="K165" s="73"/>
      <c r="L165" s="73"/>
      <c r="M165" s="73"/>
      <c r="N165" s="73"/>
      <c r="O165" s="3" t="str">
        <f>IF(C165="","",IF(C165=5,IFERROR(INDEX(code_Note1!$F$13:$F$16,MATCH(E165,code_Note1!$E$13:$E$16,0)),INDEX(code_Note1!$F$16,1)),IF(B165&lt;code_Note1!$D$21,"No",IFERROR(VLOOKUP(C165,code_Note1!$D$3:$G$8,3,FALSE),""))))</f>
        <v>No</v>
      </c>
      <c r="P165" s="3" t="s">
        <v>831</v>
      </c>
    </row>
    <row r="166" spans="1:16" ht="19.5" customHeight="1">
      <c r="A166" s="2" t="s">
        <v>854</v>
      </c>
      <c r="B166" s="38">
        <v>45722</v>
      </c>
      <c r="C166" s="1" t="s">
        <v>844</v>
      </c>
      <c r="D166" s="1" t="s">
        <v>826</v>
      </c>
      <c r="E166" s="28" t="s">
        <v>12</v>
      </c>
      <c r="F166" s="8" t="s">
        <v>185</v>
      </c>
      <c r="G166" s="6">
        <v>352000</v>
      </c>
      <c r="H166" s="6"/>
      <c r="I166" s="6"/>
      <c r="J166" s="7"/>
      <c r="K166" s="73"/>
      <c r="L166" s="73"/>
      <c r="M166" s="73"/>
      <c r="N166" s="73"/>
      <c r="O166" s="3" t="str">
        <f>IF(C166="","",IF(C166=5,IFERROR(INDEX(code_Note1!$F$13:$F$16,MATCH(E166,code_Note1!$E$13:$E$16,0)),INDEX(code_Note1!$F$16,1)),IF(B166&lt;code_Note1!$D$21,"No",IFERROR(VLOOKUP(C166,code_Note1!$D$3:$G$8,3,FALSE),""))))</f>
        <v>No</v>
      </c>
      <c r="P166" s="3" t="s">
        <v>833</v>
      </c>
    </row>
    <row r="167" spans="1:16" ht="19.5" customHeight="1">
      <c r="A167" s="2" t="s">
        <v>854</v>
      </c>
      <c r="B167" s="38">
        <v>45722</v>
      </c>
      <c r="C167" s="1">
        <v>3</v>
      </c>
      <c r="D167" s="1" t="s">
        <v>823</v>
      </c>
      <c r="E167" s="1" t="s">
        <v>12</v>
      </c>
      <c r="F167" s="8" t="s">
        <v>186</v>
      </c>
      <c r="G167" s="6">
        <v>100000</v>
      </c>
      <c r="H167" s="6"/>
      <c r="I167" s="6"/>
      <c r="J167" s="7"/>
      <c r="K167" s="73"/>
      <c r="L167" s="73"/>
      <c r="M167" s="73"/>
      <c r="N167" s="73"/>
      <c r="O167" s="3" t="str">
        <f>IF(C167="","",IF(C167=5,IFERROR(INDEX(code_Note1!$F$13:$F$16,MATCH(E167,code_Note1!$E$13:$E$16,0)),INDEX(code_Note1!$F$16,1)),IF(B167&lt;code_Note1!$D$21,"No",IFERROR(VLOOKUP(C167,code_Note1!$D$3:$G$8,3,FALSE),""))))</f>
        <v>No</v>
      </c>
      <c r="P167" s="3" t="s">
        <v>832</v>
      </c>
    </row>
    <row r="168" spans="1:16" ht="19.5" customHeight="1">
      <c r="A168" s="2" t="s">
        <v>854</v>
      </c>
      <c r="B168" s="38">
        <v>45722</v>
      </c>
      <c r="C168" s="1">
        <v>3</v>
      </c>
      <c r="D168" s="1" t="s">
        <v>823</v>
      </c>
      <c r="E168" s="1" t="s">
        <v>44</v>
      </c>
      <c r="F168" s="8" t="s">
        <v>187</v>
      </c>
      <c r="G168" s="6">
        <v>180000</v>
      </c>
      <c r="H168" s="6"/>
      <c r="I168" s="6"/>
      <c r="J168" s="7"/>
      <c r="K168" s="73"/>
      <c r="L168" s="73"/>
      <c r="M168" s="73"/>
      <c r="N168" s="73"/>
      <c r="O168" s="3" t="str">
        <f>IF(C168="","",IF(C168=5,IFERROR(INDEX(code_Note1!$F$13:$F$16,MATCH(E168,code_Note1!$E$13:$E$16,0)),INDEX(code_Note1!$F$16,1)),IF(B168&lt;code_Note1!$D$21,"No",IFERROR(VLOOKUP(C168,code_Note1!$D$3:$G$8,3,FALSE),""))))</f>
        <v>No</v>
      </c>
      <c r="P168" s="3" t="s">
        <v>832</v>
      </c>
    </row>
    <row r="169" spans="1:16" ht="19.5" customHeight="1">
      <c r="A169" s="2" t="s">
        <v>854</v>
      </c>
      <c r="B169" s="38">
        <v>45722</v>
      </c>
      <c r="C169" s="1">
        <v>2</v>
      </c>
      <c r="D169" s="1" t="s">
        <v>838</v>
      </c>
      <c r="E169" s="1" t="s">
        <v>46</v>
      </c>
      <c r="F169" s="8" t="s">
        <v>188</v>
      </c>
      <c r="G169" s="6">
        <v>2665000</v>
      </c>
      <c r="H169" s="6"/>
      <c r="I169" s="6"/>
      <c r="J169" s="7"/>
      <c r="K169" s="73"/>
      <c r="L169" s="73"/>
      <c r="M169" s="73"/>
      <c r="N169" s="73"/>
      <c r="O169" s="3" t="str">
        <f>IF(C169="","",IF(C169=5,IFERROR(INDEX(code_Note1!$F$13:$F$16,MATCH(E169,code_Note1!$E$13:$E$16,0)),INDEX(code_Note1!$F$16,1)),IF(B169&lt;code_Note1!$D$21,"No",IFERROR(VLOOKUP(C169,code_Note1!$D$3:$G$8,3,FALSE),""))))</f>
        <v>No</v>
      </c>
      <c r="P169" s="3" t="s">
        <v>831</v>
      </c>
    </row>
    <row r="170" spans="1:16" ht="19.5" customHeight="1">
      <c r="A170" s="2" t="s">
        <v>854</v>
      </c>
      <c r="B170" s="38">
        <v>45724</v>
      </c>
      <c r="C170" s="1">
        <v>3</v>
      </c>
      <c r="D170" s="1" t="s">
        <v>823</v>
      </c>
      <c r="E170" s="1" t="s">
        <v>12</v>
      </c>
      <c r="F170" s="8" t="s">
        <v>189</v>
      </c>
      <c r="G170" s="6">
        <v>650000</v>
      </c>
      <c r="H170" s="6"/>
      <c r="I170" s="6"/>
      <c r="J170" s="7"/>
      <c r="K170" s="73"/>
      <c r="L170" s="73"/>
      <c r="M170" s="73"/>
      <c r="N170" s="73"/>
      <c r="O170" s="3" t="str">
        <f>IF(C170="","",IF(C170=5,IFERROR(INDEX(code_Note1!$F$13:$F$16,MATCH(E170,code_Note1!$E$13:$E$16,0)),INDEX(code_Note1!$F$16,1)),IF(B170&lt;code_Note1!$D$21,"No",IFERROR(VLOOKUP(C170,code_Note1!$D$3:$G$8,3,FALSE),""))))</f>
        <v>No</v>
      </c>
      <c r="P170" s="3" t="s">
        <v>832</v>
      </c>
    </row>
    <row r="171" spans="1:16" ht="19.5" customHeight="1">
      <c r="A171" s="2" t="s">
        <v>854</v>
      </c>
      <c r="B171" s="38">
        <v>45724</v>
      </c>
      <c r="C171" s="1">
        <v>3</v>
      </c>
      <c r="D171" s="1" t="s">
        <v>823</v>
      </c>
      <c r="E171" s="1" t="s">
        <v>12</v>
      </c>
      <c r="F171" s="8" t="s">
        <v>190</v>
      </c>
      <c r="G171" s="6">
        <v>120000</v>
      </c>
      <c r="H171" s="6"/>
      <c r="I171" s="6"/>
      <c r="J171" s="7"/>
      <c r="K171" s="73"/>
      <c r="L171" s="73"/>
      <c r="M171" s="73"/>
      <c r="N171" s="73"/>
      <c r="O171" s="3" t="str">
        <f>IF(C171="","",IF(C171=5,IFERROR(INDEX(code_Note1!$F$13:$F$16,MATCH(E171,code_Note1!$E$13:$E$16,0)),INDEX(code_Note1!$F$16,1)),IF(B171&lt;code_Note1!$D$21,"No",IFERROR(VLOOKUP(C171,code_Note1!$D$3:$G$8,3,FALSE),""))))</f>
        <v>No</v>
      </c>
      <c r="P171" s="3" t="s">
        <v>832</v>
      </c>
    </row>
    <row r="172" spans="1:16" ht="19.5" customHeight="1">
      <c r="A172" s="2" t="s">
        <v>854</v>
      </c>
      <c r="B172" s="38">
        <v>45724</v>
      </c>
      <c r="C172" s="1">
        <v>3</v>
      </c>
      <c r="D172" s="1" t="s">
        <v>823</v>
      </c>
      <c r="E172" s="1" t="s">
        <v>12</v>
      </c>
      <c r="F172" s="8" t="s">
        <v>191</v>
      </c>
      <c r="G172" s="6">
        <v>260000</v>
      </c>
      <c r="H172" s="6"/>
      <c r="I172" s="6"/>
      <c r="J172" s="7"/>
      <c r="K172" s="73"/>
      <c r="L172" s="73"/>
      <c r="M172" s="73"/>
      <c r="N172" s="73"/>
      <c r="O172" s="3" t="str">
        <f>IF(C172="","",IF(C172=5,IFERROR(INDEX(code_Note1!$F$13:$F$16,MATCH(E172,code_Note1!$E$13:$E$16,0)),INDEX(code_Note1!$F$16,1)),IF(B172&lt;code_Note1!$D$21,"No",IFERROR(VLOOKUP(C172,code_Note1!$D$3:$G$8,3,FALSE),""))))</f>
        <v>No</v>
      </c>
      <c r="P172" s="3" t="s">
        <v>832</v>
      </c>
    </row>
    <row r="173" spans="1:16" ht="19.5" customHeight="1">
      <c r="A173" s="2" t="s">
        <v>854</v>
      </c>
      <c r="B173" s="38">
        <v>45724</v>
      </c>
      <c r="C173" s="1">
        <v>3</v>
      </c>
      <c r="D173" s="1" t="s">
        <v>823</v>
      </c>
      <c r="E173" s="1" t="s">
        <v>12</v>
      </c>
      <c r="F173" s="8" t="s">
        <v>192</v>
      </c>
      <c r="G173" s="6">
        <v>80000</v>
      </c>
      <c r="H173" s="6"/>
      <c r="I173" s="6"/>
      <c r="J173" s="7"/>
      <c r="K173" s="73"/>
      <c r="L173" s="73"/>
      <c r="M173" s="73"/>
      <c r="N173" s="73"/>
      <c r="O173" s="3" t="str">
        <f>IF(C173="","",IF(C173=5,IFERROR(INDEX(code_Note1!$F$13:$F$16,MATCH(E173,code_Note1!$E$13:$E$16,0)),INDEX(code_Note1!$F$16,1)),IF(B173&lt;code_Note1!$D$21,"No",IFERROR(VLOOKUP(C173,code_Note1!$D$3:$G$8,3,FALSE),""))))</f>
        <v>No</v>
      </c>
      <c r="P173" s="3" t="s">
        <v>832</v>
      </c>
    </row>
    <row r="174" spans="1:16" ht="19.5" customHeight="1">
      <c r="A174" s="2" t="s">
        <v>854</v>
      </c>
      <c r="B174" s="38">
        <v>45725</v>
      </c>
      <c r="C174" s="1">
        <v>3</v>
      </c>
      <c r="D174" s="1" t="s">
        <v>823</v>
      </c>
      <c r="E174" s="1" t="s">
        <v>12</v>
      </c>
      <c r="F174" s="8" t="s">
        <v>193</v>
      </c>
      <c r="G174" s="6">
        <v>100000</v>
      </c>
      <c r="H174" s="6"/>
      <c r="I174" s="6"/>
      <c r="J174" s="7"/>
      <c r="K174" s="73"/>
      <c r="L174" s="73"/>
      <c r="M174" s="73"/>
      <c r="N174" s="73"/>
      <c r="O174" s="3" t="str">
        <f>IF(C174="","",IF(C174=5,IFERROR(INDEX(code_Note1!$F$13:$F$16,MATCH(E174,code_Note1!$E$13:$E$16,0)),INDEX(code_Note1!$F$16,1)),IF(B174&lt;code_Note1!$D$21,"No",IFERROR(VLOOKUP(C174,code_Note1!$D$3:$G$8,3,FALSE),""))))</f>
        <v>No</v>
      </c>
      <c r="P174" s="3" t="s">
        <v>832</v>
      </c>
    </row>
    <row r="175" spans="1:16" ht="19.5" customHeight="1">
      <c r="A175" s="2" t="s">
        <v>854</v>
      </c>
      <c r="B175" s="38">
        <v>45726</v>
      </c>
      <c r="C175" s="1">
        <v>1</v>
      </c>
      <c r="D175" s="1" t="s">
        <v>824</v>
      </c>
      <c r="E175" s="27" t="s">
        <v>62</v>
      </c>
      <c r="F175" s="8" t="s">
        <v>61</v>
      </c>
      <c r="G175" s="6">
        <v>2400000</v>
      </c>
      <c r="H175" s="6"/>
      <c r="I175" s="6"/>
      <c r="J175" s="7"/>
      <c r="K175" s="73"/>
      <c r="L175" s="73"/>
      <c r="M175" s="73"/>
      <c r="N175" s="73"/>
      <c r="O175" s="3" t="str">
        <f>IF(C175="","",IF(C175=5,IFERROR(INDEX(code_Note1!$F$13:$F$16,MATCH(E175,code_Note1!$E$13:$E$16,0)),INDEX(code_Note1!$F$16,1)),IF(B175&lt;code_Note1!$D$21,"No",IFERROR(VLOOKUP(C175,code_Note1!$D$3:$G$8,3,FALSE),""))))</f>
        <v>No</v>
      </c>
      <c r="P175" s="3" t="s">
        <v>832</v>
      </c>
    </row>
    <row r="176" spans="1:16" ht="19.5" customHeight="1">
      <c r="A176" s="2" t="s">
        <v>854</v>
      </c>
      <c r="B176" s="38">
        <v>45726</v>
      </c>
      <c r="C176" s="1">
        <v>1</v>
      </c>
      <c r="D176" s="1" t="s">
        <v>824</v>
      </c>
      <c r="E176" s="27" t="s">
        <v>62</v>
      </c>
      <c r="F176" s="8" t="s">
        <v>194</v>
      </c>
      <c r="G176" s="6">
        <v>2500000</v>
      </c>
      <c r="H176" s="6"/>
      <c r="I176" s="6"/>
      <c r="J176" s="7"/>
      <c r="K176" s="73"/>
      <c r="L176" s="73"/>
      <c r="M176" s="73"/>
      <c r="N176" s="73"/>
      <c r="O176" s="3" t="str">
        <f>IF(C176="","",IF(C176=5,IFERROR(INDEX(code_Note1!$F$13:$F$16,MATCH(E176,code_Note1!$E$13:$E$16,0)),INDEX(code_Note1!$F$16,1)),IF(B176&lt;code_Note1!$D$21,"No",IFERROR(VLOOKUP(C176,code_Note1!$D$3:$G$8,3,FALSE),""))))</f>
        <v>No</v>
      </c>
      <c r="P176" s="3" t="s">
        <v>832</v>
      </c>
    </row>
    <row r="177" spans="1:16" ht="19.5" customHeight="1">
      <c r="A177" s="2" t="s">
        <v>854</v>
      </c>
      <c r="B177" s="38">
        <v>45726</v>
      </c>
      <c r="C177" s="1">
        <v>3</v>
      </c>
      <c r="D177" s="1" t="s">
        <v>823</v>
      </c>
      <c r="E177" s="1" t="s">
        <v>12</v>
      </c>
      <c r="F177" s="8" t="s">
        <v>118</v>
      </c>
      <c r="G177" s="6">
        <v>124000</v>
      </c>
      <c r="H177" s="6"/>
      <c r="I177" s="6"/>
      <c r="J177" s="7"/>
      <c r="K177" s="73"/>
      <c r="L177" s="73"/>
      <c r="M177" s="73"/>
      <c r="N177" s="73"/>
      <c r="O177" s="3" t="str">
        <f>IF(C177="","",IF(C177=5,IFERROR(INDEX(code_Note1!$F$13:$F$16,MATCH(E177,code_Note1!$E$13:$E$16,0)),INDEX(code_Note1!$F$16,1)),IF(B177&lt;code_Note1!$D$21,"No",IFERROR(VLOOKUP(C177,code_Note1!$D$3:$G$8,3,FALSE),""))))</f>
        <v>No</v>
      </c>
      <c r="P177" s="3" t="s">
        <v>832</v>
      </c>
    </row>
    <row r="178" spans="1:16" ht="19.5" customHeight="1">
      <c r="A178" s="2" t="s">
        <v>854</v>
      </c>
      <c r="B178" s="38">
        <v>45726</v>
      </c>
      <c r="C178" s="1">
        <v>2</v>
      </c>
      <c r="D178" s="1" t="s">
        <v>838</v>
      </c>
      <c r="E178" s="1" t="s">
        <v>34</v>
      </c>
      <c r="F178" s="8" t="s">
        <v>195</v>
      </c>
      <c r="G178" s="6">
        <v>1180000</v>
      </c>
      <c r="H178" s="6">
        <v>0</v>
      </c>
      <c r="I178" s="6">
        <v>3100</v>
      </c>
      <c r="J178" s="7"/>
      <c r="K178" s="73"/>
      <c r="L178" s="73"/>
      <c r="M178" s="73"/>
      <c r="N178" s="73"/>
      <c r="O178" s="3" t="str">
        <f>IF(C178="","",IF(C178=5,IFERROR(INDEX(code_Note1!$F$13:$F$16,MATCH(E178,code_Note1!$E$13:$E$16,0)),INDEX(code_Note1!$F$16,1)),IF(B178&lt;code_Note1!$D$21,"No",IFERROR(VLOOKUP(C178,code_Note1!$D$3:$G$8,3,FALSE),""))))</f>
        <v>No</v>
      </c>
      <c r="P178" s="3" t="s">
        <v>831</v>
      </c>
    </row>
    <row r="179" spans="1:16" ht="19.5" customHeight="1">
      <c r="A179" s="2" t="s">
        <v>854</v>
      </c>
      <c r="B179" s="38">
        <v>45726</v>
      </c>
      <c r="C179" s="1">
        <v>3</v>
      </c>
      <c r="D179" s="1" t="s">
        <v>823</v>
      </c>
      <c r="E179" s="1" t="s">
        <v>12</v>
      </c>
      <c r="F179" s="8" t="s">
        <v>196</v>
      </c>
      <c r="G179" s="6">
        <v>102000</v>
      </c>
      <c r="H179" s="6"/>
      <c r="I179" s="6"/>
      <c r="J179" s="7"/>
      <c r="K179" s="73"/>
      <c r="L179" s="73"/>
      <c r="M179" s="73"/>
      <c r="N179" s="73"/>
      <c r="O179" s="3" t="str">
        <f>IF(C179="","",IF(C179=5,IFERROR(INDEX(code_Note1!$F$13:$F$16,MATCH(E179,code_Note1!$E$13:$E$16,0)),INDEX(code_Note1!$F$16,1)),IF(B179&lt;code_Note1!$D$21,"No",IFERROR(VLOOKUP(C179,code_Note1!$D$3:$G$8,3,FALSE),""))))</f>
        <v>No</v>
      </c>
      <c r="P179" s="3" t="s">
        <v>832</v>
      </c>
    </row>
    <row r="180" spans="1:16" ht="19.5" customHeight="1">
      <c r="A180" s="2" t="s">
        <v>854</v>
      </c>
      <c r="B180" s="38">
        <v>45726</v>
      </c>
      <c r="C180" s="1">
        <v>2</v>
      </c>
      <c r="D180" s="1" t="s">
        <v>838</v>
      </c>
      <c r="E180" s="1" t="s">
        <v>198</v>
      </c>
      <c r="F180" s="8" t="s">
        <v>197</v>
      </c>
      <c r="G180" s="6">
        <v>3400000</v>
      </c>
      <c r="H180" s="6"/>
      <c r="I180" s="6"/>
      <c r="J180" s="7"/>
      <c r="K180" s="73"/>
      <c r="L180" s="73"/>
      <c r="M180" s="73"/>
      <c r="N180" s="73"/>
      <c r="O180" s="3" t="str">
        <f>IF(C180="","",IF(C180=5,IFERROR(INDEX(code_Note1!$F$13:$F$16,MATCH(E180,code_Note1!$E$13:$E$16,0)),INDEX(code_Note1!$F$16,1)),IF(B180&lt;code_Note1!$D$21,"No",IFERROR(VLOOKUP(C180,code_Note1!$D$3:$G$8,3,FALSE),""))))</f>
        <v>No</v>
      </c>
      <c r="P180" s="3" t="s">
        <v>831</v>
      </c>
    </row>
    <row r="181" spans="1:16" ht="19.5" customHeight="1">
      <c r="A181" s="2" t="s">
        <v>854</v>
      </c>
      <c r="B181" s="38">
        <v>45727</v>
      </c>
      <c r="C181" s="1">
        <v>2</v>
      </c>
      <c r="D181" s="1" t="s">
        <v>838</v>
      </c>
      <c r="E181" s="1" t="s">
        <v>82</v>
      </c>
      <c r="F181" s="8" t="s">
        <v>199</v>
      </c>
      <c r="G181" s="6">
        <v>0</v>
      </c>
      <c r="H181" s="6">
        <v>148224</v>
      </c>
      <c r="I181" s="6"/>
      <c r="J181" s="7"/>
      <c r="K181" s="73"/>
      <c r="L181" s="73"/>
      <c r="M181" s="73"/>
      <c r="N181" s="73"/>
      <c r="O181" s="3" t="str">
        <f>IF(C181="","",IF(C181=5,IFERROR(INDEX(code_Note1!$F$13:$F$16,MATCH(E181,code_Note1!$E$13:$E$16,0)),INDEX(code_Note1!$F$16,1)),IF(B181&lt;code_Note1!$D$21,"No",IFERROR(VLOOKUP(C181,code_Note1!$D$3:$G$8,3,FALSE),""))))</f>
        <v>No</v>
      </c>
      <c r="P181" s="3" t="s">
        <v>831</v>
      </c>
    </row>
    <row r="182" spans="1:16" ht="19.5" customHeight="1">
      <c r="A182" s="2" t="s">
        <v>854</v>
      </c>
      <c r="B182" s="38">
        <v>45730</v>
      </c>
      <c r="C182" s="1">
        <v>2</v>
      </c>
      <c r="D182" s="1" t="s">
        <v>838</v>
      </c>
      <c r="E182" s="1" t="s">
        <v>21</v>
      </c>
      <c r="F182" s="8" t="s">
        <v>200</v>
      </c>
      <c r="G182" s="6">
        <v>506000</v>
      </c>
      <c r="H182" s="6"/>
      <c r="I182" s="6"/>
      <c r="J182" s="7"/>
      <c r="K182" s="73"/>
      <c r="L182" s="73"/>
      <c r="M182" s="73"/>
      <c r="N182" s="73"/>
      <c r="O182" s="3" t="str">
        <f>IF(C182="","",IF(C182=5,IFERROR(INDEX(code_Note1!$F$13:$F$16,MATCH(E182,code_Note1!$E$13:$E$16,0)),INDEX(code_Note1!$F$16,1)),IF(B182&lt;code_Note1!$D$21,"No",IFERROR(VLOOKUP(C182,code_Note1!$D$3:$G$8,3,FALSE),""))))</f>
        <v>No</v>
      </c>
      <c r="P182" s="3" t="s">
        <v>831</v>
      </c>
    </row>
    <row r="183" spans="1:16" ht="19.5" customHeight="1">
      <c r="A183" s="2" t="s">
        <v>854</v>
      </c>
      <c r="B183" s="38">
        <v>45730</v>
      </c>
      <c r="C183" s="1">
        <v>2</v>
      </c>
      <c r="D183" s="1" t="s">
        <v>838</v>
      </c>
      <c r="E183" s="1" t="s">
        <v>42</v>
      </c>
      <c r="F183" s="8" t="s">
        <v>201</v>
      </c>
      <c r="G183" s="6">
        <v>3200000</v>
      </c>
      <c r="H183" s="6"/>
      <c r="I183" s="6"/>
      <c r="J183" s="7"/>
      <c r="K183" s="73"/>
      <c r="L183" s="73"/>
      <c r="M183" s="73"/>
      <c r="N183" s="73"/>
      <c r="O183" s="3" t="str">
        <f>IF(C183="","",IF(C183=5,IFERROR(INDEX(code_Note1!$F$13:$F$16,MATCH(E183,code_Note1!$E$13:$E$16,0)),INDEX(code_Note1!$F$16,1)),IF(B183&lt;code_Note1!$D$21,"No",IFERROR(VLOOKUP(C183,code_Note1!$D$3:$G$8,3,FALSE),""))))</f>
        <v>No</v>
      </c>
      <c r="P183" s="3" t="s">
        <v>831</v>
      </c>
    </row>
    <row r="184" spans="1:16" ht="19.5" customHeight="1">
      <c r="A184" s="2" t="s">
        <v>854</v>
      </c>
      <c r="B184" s="38">
        <v>45730</v>
      </c>
      <c r="C184" s="1">
        <v>2</v>
      </c>
      <c r="D184" s="1" t="s">
        <v>838</v>
      </c>
      <c r="E184" s="1" t="s">
        <v>21</v>
      </c>
      <c r="F184" s="8" t="s">
        <v>202</v>
      </c>
      <c r="G184" s="6">
        <v>1600000</v>
      </c>
      <c r="H184" s="6"/>
      <c r="I184" s="6"/>
      <c r="J184" s="7"/>
      <c r="K184" s="73"/>
      <c r="L184" s="73"/>
      <c r="M184" s="73"/>
      <c r="N184" s="73"/>
      <c r="O184" s="3" t="str">
        <f>IF(C184="","",IF(C184=5,IFERROR(INDEX(code_Note1!$F$13:$F$16,MATCH(E184,code_Note1!$E$13:$E$16,0)),INDEX(code_Note1!$F$16,1)),IF(B184&lt;code_Note1!$D$21,"No",IFERROR(VLOOKUP(C184,code_Note1!$D$3:$G$8,3,FALSE),""))))</f>
        <v>No</v>
      </c>
      <c r="P184" s="3" t="s">
        <v>831</v>
      </c>
    </row>
    <row r="185" spans="1:16" ht="19.5" customHeight="1">
      <c r="A185" s="2" t="s">
        <v>854</v>
      </c>
      <c r="B185" s="38">
        <v>45730</v>
      </c>
      <c r="C185" s="1">
        <v>2</v>
      </c>
      <c r="D185" s="1" t="s">
        <v>838</v>
      </c>
      <c r="E185" s="36" t="s">
        <v>80</v>
      </c>
      <c r="F185" s="8" t="s">
        <v>203</v>
      </c>
      <c r="G185" s="6">
        <v>25500000</v>
      </c>
      <c r="H185" s="6"/>
      <c r="I185" s="6"/>
      <c r="J185" s="7"/>
      <c r="K185" s="73"/>
      <c r="L185" s="73"/>
      <c r="M185" s="73"/>
      <c r="N185" s="73"/>
      <c r="O185" s="3" t="str">
        <f>IF(C185="","",IF(C185=5,IFERROR(INDEX(code_Note1!$F$13:$F$16,MATCH(E185,code_Note1!$E$13:$E$16,0)),INDEX(code_Note1!$F$16,1)),IF(B185&lt;code_Note1!$D$21,"No",IFERROR(VLOOKUP(C185,code_Note1!$D$3:$G$8,3,FALSE),""))))</f>
        <v>No</v>
      </c>
      <c r="P185" s="3" t="s">
        <v>831</v>
      </c>
    </row>
    <row r="186" spans="1:16" ht="19.5" customHeight="1">
      <c r="A186" s="2" t="s">
        <v>854</v>
      </c>
      <c r="B186" s="38">
        <v>45730</v>
      </c>
      <c r="C186" s="1">
        <v>2</v>
      </c>
      <c r="D186" s="1" t="s">
        <v>838</v>
      </c>
      <c r="E186" s="1" t="s">
        <v>46</v>
      </c>
      <c r="F186" s="8" t="s">
        <v>204</v>
      </c>
      <c r="G186" s="6">
        <v>5200000</v>
      </c>
      <c r="H186" s="6"/>
      <c r="I186" s="6"/>
      <c r="J186" s="7"/>
      <c r="K186" s="73"/>
      <c r="L186" s="73"/>
      <c r="M186" s="73"/>
      <c r="N186" s="73"/>
      <c r="O186" s="3" t="str">
        <f>IF(C186="","",IF(C186=5,IFERROR(INDEX(code_Note1!$F$13:$F$16,MATCH(E186,code_Note1!$E$13:$E$16,0)),INDEX(code_Note1!$F$16,1)),IF(B186&lt;code_Note1!$D$21,"No",IFERROR(VLOOKUP(C186,code_Note1!$D$3:$G$8,3,FALSE),""))))</f>
        <v>No</v>
      </c>
      <c r="P186" s="3" t="s">
        <v>831</v>
      </c>
    </row>
    <row r="187" spans="1:16" ht="19.5" customHeight="1">
      <c r="A187" s="2" t="s">
        <v>854</v>
      </c>
      <c r="B187" s="38">
        <v>45730</v>
      </c>
      <c r="C187" s="1">
        <v>2</v>
      </c>
      <c r="D187" s="1" t="s">
        <v>838</v>
      </c>
      <c r="E187" s="1" t="s">
        <v>46</v>
      </c>
      <c r="F187" s="8" t="s">
        <v>205</v>
      </c>
      <c r="G187" s="6">
        <v>9450000</v>
      </c>
      <c r="H187" s="6"/>
      <c r="I187" s="6"/>
      <c r="J187" s="7"/>
      <c r="K187" s="73"/>
      <c r="L187" s="73"/>
      <c r="M187" s="73"/>
      <c r="N187" s="73"/>
      <c r="O187" s="3" t="str">
        <f>IF(C187="","",IF(C187=5,IFERROR(INDEX(code_Note1!$F$13:$F$16,MATCH(E187,code_Note1!$E$13:$E$16,0)),INDEX(code_Note1!$F$16,1)),IF(B187&lt;code_Note1!$D$21,"No",IFERROR(VLOOKUP(C187,code_Note1!$D$3:$G$8,3,FALSE),""))))</f>
        <v>No</v>
      </c>
      <c r="P187" s="3" t="s">
        <v>831</v>
      </c>
    </row>
    <row r="188" spans="1:16" ht="19.5" customHeight="1">
      <c r="A188" s="2" t="s">
        <v>854</v>
      </c>
      <c r="B188" s="38">
        <v>45730</v>
      </c>
      <c r="C188" s="1">
        <v>2</v>
      </c>
      <c r="D188" s="1" t="s">
        <v>838</v>
      </c>
      <c r="E188" s="1" t="s">
        <v>46</v>
      </c>
      <c r="F188" s="8" t="s">
        <v>206</v>
      </c>
      <c r="G188" s="6">
        <v>1600000</v>
      </c>
      <c r="H188" s="6"/>
      <c r="I188" s="6"/>
      <c r="J188" s="7"/>
      <c r="K188" s="73"/>
      <c r="L188" s="73"/>
      <c r="M188" s="73"/>
      <c r="N188" s="73"/>
      <c r="O188" s="3" t="str">
        <f>IF(C188="","",IF(C188=5,IFERROR(INDEX(code_Note1!$F$13:$F$16,MATCH(E188,code_Note1!$E$13:$E$16,0)),INDEX(code_Note1!$F$16,1)),IF(B188&lt;code_Note1!$D$21,"No",IFERROR(VLOOKUP(C188,code_Note1!$D$3:$G$8,3,FALSE),""))))</f>
        <v>No</v>
      </c>
      <c r="P188" s="3" t="s">
        <v>831</v>
      </c>
    </row>
    <row r="189" spans="1:16" ht="19.5" customHeight="1">
      <c r="A189" s="2" t="s">
        <v>854</v>
      </c>
      <c r="B189" s="38">
        <v>45730</v>
      </c>
      <c r="C189" s="1">
        <v>3</v>
      </c>
      <c r="D189" s="1" t="s">
        <v>823</v>
      </c>
      <c r="E189" s="1" t="s">
        <v>12</v>
      </c>
      <c r="F189" s="8" t="s">
        <v>207</v>
      </c>
      <c r="G189" s="6">
        <v>100000</v>
      </c>
      <c r="H189" s="6"/>
      <c r="I189" s="6"/>
      <c r="J189" s="7"/>
      <c r="K189" s="73"/>
      <c r="L189" s="73"/>
      <c r="M189" s="73"/>
      <c r="N189" s="73"/>
      <c r="O189" s="3" t="str">
        <f>IF(C189="","",IF(C189=5,IFERROR(INDEX(code_Note1!$F$13:$F$16,MATCH(E189,code_Note1!$E$13:$E$16,0)),INDEX(code_Note1!$F$16,1)),IF(B189&lt;code_Note1!$D$21,"No",IFERROR(VLOOKUP(C189,code_Note1!$D$3:$G$8,3,FALSE),""))))</f>
        <v>No</v>
      </c>
      <c r="P189" s="3" t="s">
        <v>832</v>
      </c>
    </row>
    <row r="190" spans="1:16" ht="19.5" customHeight="1">
      <c r="A190" s="2" t="s">
        <v>854</v>
      </c>
      <c r="B190" s="38">
        <v>45731</v>
      </c>
      <c r="C190" s="1">
        <v>3</v>
      </c>
      <c r="D190" s="1" t="s">
        <v>823</v>
      </c>
      <c r="E190" s="1" t="s">
        <v>38</v>
      </c>
      <c r="F190" s="8" t="s">
        <v>208</v>
      </c>
      <c r="G190" s="6">
        <v>4809000</v>
      </c>
      <c r="H190" s="6"/>
      <c r="I190" s="6"/>
      <c r="J190" s="7"/>
      <c r="K190" s="73"/>
      <c r="L190" s="73"/>
      <c r="M190" s="73"/>
      <c r="N190" s="73"/>
      <c r="O190" s="3" t="str">
        <f>IF(C190="","",IF(C190=5,IFERROR(INDEX(code_Note1!$F$13:$F$16,MATCH(E190,code_Note1!$E$13:$E$16,0)),INDEX(code_Note1!$F$16,1)),IF(B190&lt;code_Note1!$D$21,"No",IFERROR(VLOOKUP(C190,code_Note1!$D$3:$G$8,3,FALSE),""))))</f>
        <v>No</v>
      </c>
      <c r="P190" s="3" t="s">
        <v>832</v>
      </c>
    </row>
    <row r="191" spans="1:16" ht="19.5" customHeight="1">
      <c r="A191" s="2" t="s">
        <v>854</v>
      </c>
      <c r="B191" s="38">
        <v>45731</v>
      </c>
      <c r="C191" s="1">
        <v>3</v>
      </c>
      <c r="D191" s="1" t="s">
        <v>823</v>
      </c>
      <c r="E191" s="1" t="s">
        <v>147</v>
      </c>
      <c r="F191" s="8" t="s">
        <v>209</v>
      </c>
      <c r="G191" s="6">
        <v>740000</v>
      </c>
      <c r="H191" s="6"/>
      <c r="I191" s="6"/>
      <c r="J191" s="7"/>
      <c r="K191" s="73"/>
      <c r="L191" s="73"/>
      <c r="M191" s="73"/>
      <c r="N191" s="73"/>
      <c r="O191" s="3" t="str">
        <f>IF(C191="","",IF(C191=5,IFERROR(INDEX(code_Note1!$F$13:$F$16,MATCH(E191,code_Note1!$E$13:$E$16,0)),INDEX(code_Note1!$F$16,1)),IF(B191&lt;code_Note1!$D$21,"No",IFERROR(VLOOKUP(C191,code_Note1!$D$3:$G$8,3,FALSE),""))))</f>
        <v>No</v>
      </c>
      <c r="P191" s="3" t="s">
        <v>832</v>
      </c>
    </row>
    <row r="192" spans="1:16" ht="19.5" customHeight="1">
      <c r="A192" s="2" t="s">
        <v>854</v>
      </c>
      <c r="B192" s="38">
        <v>45731</v>
      </c>
      <c r="C192" s="1">
        <v>3</v>
      </c>
      <c r="D192" s="1" t="s">
        <v>823</v>
      </c>
      <c r="E192" s="1" t="s">
        <v>12</v>
      </c>
      <c r="F192" s="8" t="s">
        <v>210</v>
      </c>
      <c r="G192" s="6">
        <v>498000</v>
      </c>
      <c r="H192" s="6"/>
      <c r="I192" s="6"/>
      <c r="J192" s="7"/>
      <c r="K192" s="73"/>
      <c r="L192" s="73"/>
      <c r="M192" s="73"/>
      <c r="N192" s="73"/>
      <c r="O192" s="3" t="str">
        <f>IF(C192="","",IF(C192=5,IFERROR(INDEX(code_Note1!$F$13:$F$16,MATCH(E192,code_Note1!$E$13:$E$16,0)),INDEX(code_Note1!$F$16,1)),IF(B192&lt;code_Note1!$D$21,"No",IFERROR(VLOOKUP(C192,code_Note1!$D$3:$G$8,3,FALSE),""))))</f>
        <v>No</v>
      </c>
      <c r="P192" s="3" t="s">
        <v>832</v>
      </c>
    </row>
    <row r="193" spans="1:16" ht="19.5" customHeight="1">
      <c r="A193" s="2" t="s">
        <v>854</v>
      </c>
      <c r="B193" s="38">
        <v>45731</v>
      </c>
      <c r="C193" s="1">
        <v>2</v>
      </c>
      <c r="D193" s="1" t="s">
        <v>838</v>
      </c>
      <c r="E193" s="1" t="s">
        <v>34</v>
      </c>
      <c r="F193" s="8" t="s">
        <v>34</v>
      </c>
      <c r="G193" s="6">
        <v>1209000</v>
      </c>
      <c r="H193" s="6"/>
      <c r="I193" s="6">
        <v>2600</v>
      </c>
      <c r="J193" s="7"/>
      <c r="K193" s="73"/>
      <c r="L193" s="73"/>
      <c r="M193" s="73"/>
      <c r="N193" s="73"/>
      <c r="O193" s="3" t="str">
        <f>IF(C193="","",IF(C193=5,IFERROR(INDEX(code_Note1!$F$13:$F$16,MATCH(E193,code_Note1!$E$13:$E$16,0)),INDEX(code_Note1!$F$16,1)),IF(B193&lt;code_Note1!$D$21,"No",IFERROR(VLOOKUP(C193,code_Note1!$D$3:$G$8,3,FALSE),""))))</f>
        <v>No</v>
      </c>
      <c r="P193" s="3" t="s">
        <v>831</v>
      </c>
    </row>
    <row r="194" spans="1:16" ht="19.5" customHeight="1">
      <c r="A194" s="2" t="s">
        <v>854</v>
      </c>
      <c r="B194" s="38">
        <v>45731</v>
      </c>
      <c r="C194" s="1">
        <v>2</v>
      </c>
      <c r="D194" s="1" t="s">
        <v>838</v>
      </c>
      <c r="E194" s="1" t="s">
        <v>166</v>
      </c>
      <c r="F194" s="8" t="s">
        <v>211</v>
      </c>
      <c r="G194" s="6">
        <v>8550000</v>
      </c>
      <c r="H194" s="6"/>
      <c r="I194" s="6"/>
      <c r="J194" s="7"/>
      <c r="K194" s="73"/>
      <c r="L194" s="73"/>
      <c r="M194" s="73"/>
      <c r="N194" s="73"/>
      <c r="O194" s="3" t="str">
        <f>IF(C194="","",IF(C194=5,IFERROR(INDEX(code_Note1!$F$13:$F$16,MATCH(E194,code_Note1!$E$13:$E$16,0)),INDEX(code_Note1!$F$16,1)),IF(B194&lt;code_Note1!$D$21,"No",IFERROR(VLOOKUP(C194,code_Note1!$D$3:$G$8,3,FALSE),""))))</f>
        <v>No</v>
      </c>
      <c r="P194" s="3" t="s">
        <v>831</v>
      </c>
    </row>
    <row r="195" spans="1:16" ht="19.5" customHeight="1">
      <c r="A195" s="2" t="s">
        <v>854</v>
      </c>
      <c r="B195" s="38">
        <v>45732</v>
      </c>
      <c r="C195" s="1">
        <v>3</v>
      </c>
      <c r="D195" s="1" t="s">
        <v>823</v>
      </c>
      <c r="E195" s="1" t="s">
        <v>12</v>
      </c>
      <c r="F195" s="8" t="s">
        <v>212</v>
      </c>
      <c r="G195" s="6">
        <v>560000</v>
      </c>
      <c r="H195" s="6"/>
      <c r="I195" s="6"/>
      <c r="J195" s="7"/>
      <c r="K195" s="73"/>
      <c r="L195" s="73"/>
      <c r="M195" s="73"/>
      <c r="N195" s="73"/>
      <c r="O195" s="3" t="str">
        <f>IF(C195="","",IF(C195=5,IFERROR(INDEX(code_Note1!$F$13:$F$16,MATCH(E195,code_Note1!$E$13:$E$16,0)),INDEX(code_Note1!$F$16,1)),IF(B195&lt;code_Note1!$D$21,"No",IFERROR(VLOOKUP(C195,code_Note1!$D$3:$G$8,3,FALSE),""))))</f>
        <v>No</v>
      </c>
      <c r="P195" s="3" t="s">
        <v>832</v>
      </c>
    </row>
    <row r="196" spans="1:16" ht="19.5" customHeight="1">
      <c r="A196" s="2" t="s">
        <v>854</v>
      </c>
      <c r="B196" s="38">
        <v>45732</v>
      </c>
      <c r="C196" s="1">
        <v>3</v>
      </c>
      <c r="D196" s="1" t="s">
        <v>823</v>
      </c>
      <c r="E196" s="1" t="s">
        <v>44</v>
      </c>
      <c r="F196" s="8" t="s">
        <v>213</v>
      </c>
      <c r="G196" s="6">
        <v>117000</v>
      </c>
      <c r="H196" s="6"/>
      <c r="I196" s="6"/>
      <c r="J196" s="7"/>
      <c r="K196" s="73"/>
      <c r="L196" s="73"/>
      <c r="M196" s="73"/>
      <c r="N196" s="73"/>
      <c r="O196" s="3" t="str">
        <f>IF(C196="","",IF(C196=5,IFERROR(INDEX(code_Note1!$F$13:$F$16,MATCH(E196,code_Note1!$E$13:$E$16,0)),INDEX(code_Note1!$F$16,1)),IF(B196&lt;code_Note1!$D$21,"No",IFERROR(VLOOKUP(C196,code_Note1!$D$3:$G$8,3,FALSE),""))))</f>
        <v>No</v>
      </c>
      <c r="P196" s="3" t="s">
        <v>832</v>
      </c>
    </row>
    <row r="197" spans="1:16" ht="19.5" customHeight="1">
      <c r="A197" s="2" t="s">
        <v>854</v>
      </c>
      <c r="B197" s="38">
        <v>45733</v>
      </c>
      <c r="C197" s="1">
        <v>3</v>
      </c>
      <c r="D197" s="1" t="s">
        <v>823</v>
      </c>
      <c r="E197" s="1" t="s">
        <v>38</v>
      </c>
      <c r="F197" s="8" t="s">
        <v>214</v>
      </c>
      <c r="G197" s="6">
        <v>40000</v>
      </c>
      <c r="H197" s="6"/>
      <c r="I197" s="6"/>
      <c r="J197" s="7"/>
      <c r="K197" s="73"/>
      <c r="L197" s="73"/>
      <c r="M197" s="73"/>
      <c r="N197" s="73"/>
      <c r="O197" s="3" t="str">
        <f>IF(C197="","",IF(C197=5,IFERROR(INDEX(code_Note1!$F$13:$F$16,MATCH(E197,code_Note1!$E$13:$E$16,0)),INDEX(code_Note1!$F$16,1)),IF(B197&lt;code_Note1!$D$21,"No",IFERROR(VLOOKUP(C197,code_Note1!$D$3:$G$8,3,FALSE),""))))</f>
        <v>No</v>
      </c>
      <c r="P197" s="3" t="s">
        <v>832</v>
      </c>
    </row>
    <row r="198" spans="1:16" ht="19.5" customHeight="1">
      <c r="A198" s="2" t="s">
        <v>854</v>
      </c>
      <c r="B198" s="38">
        <v>45733</v>
      </c>
      <c r="C198" s="1">
        <v>2</v>
      </c>
      <c r="D198" s="1" t="s">
        <v>838</v>
      </c>
      <c r="E198" s="1" t="s">
        <v>21</v>
      </c>
      <c r="F198" s="8" t="s">
        <v>215</v>
      </c>
      <c r="G198" s="6">
        <v>300000</v>
      </c>
      <c r="H198" s="6"/>
      <c r="I198" s="6"/>
      <c r="J198" s="7"/>
      <c r="K198" s="73"/>
      <c r="L198" s="73"/>
      <c r="M198" s="73"/>
      <c r="N198" s="73"/>
      <c r="O198" s="3" t="str">
        <f>IF(C198="","",IF(C198=5,IFERROR(INDEX(code_Note1!$F$13:$F$16,MATCH(E198,code_Note1!$E$13:$E$16,0)),INDEX(code_Note1!$F$16,1)),IF(B198&lt;code_Note1!$D$21,"No",IFERROR(VLOOKUP(C198,code_Note1!$D$3:$G$8,3,FALSE),""))))</f>
        <v>No</v>
      </c>
      <c r="P198" s="3" t="s">
        <v>831</v>
      </c>
    </row>
    <row r="199" spans="1:16" ht="19.5" customHeight="1">
      <c r="A199" s="2" t="s">
        <v>854</v>
      </c>
      <c r="B199" s="38">
        <v>45735</v>
      </c>
      <c r="C199" s="1">
        <v>3</v>
      </c>
      <c r="D199" s="1" t="s">
        <v>823</v>
      </c>
      <c r="E199" s="1" t="s">
        <v>12</v>
      </c>
      <c r="F199" s="8" t="s">
        <v>216</v>
      </c>
      <c r="G199" s="6">
        <v>80000</v>
      </c>
      <c r="H199" s="6"/>
      <c r="I199" s="6"/>
      <c r="J199" s="7"/>
      <c r="K199" s="73"/>
      <c r="L199" s="73"/>
      <c r="M199" s="73"/>
      <c r="N199" s="73"/>
      <c r="O199" s="3" t="str">
        <f>IF(C199="","",IF(C199=5,IFERROR(INDEX(code_Note1!$F$13:$F$16,MATCH(E199,code_Note1!$E$13:$E$16,0)),INDEX(code_Note1!$F$16,1)),IF(B199&lt;code_Note1!$D$21,"No",IFERROR(VLOOKUP(C199,code_Note1!$D$3:$G$8,3,FALSE),""))))</f>
        <v>No</v>
      </c>
      <c r="P199" s="3" t="s">
        <v>832</v>
      </c>
    </row>
    <row r="200" spans="1:16" ht="19.5" customHeight="1">
      <c r="A200" s="2" t="s">
        <v>854</v>
      </c>
      <c r="B200" s="38">
        <v>45735</v>
      </c>
      <c r="C200" s="1">
        <v>3</v>
      </c>
      <c r="D200" s="1" t="s">
        <v>823</v>
      </c>
      <c r="E200" s="1" t="s">
        <v>12</v>
      </c>
      <c r="F200" s="8" t="s">
        <v>217</v>
      </c>
      <c r="G200" s="6">
        <v>103000</v>
      </c>
      <c r="H200" s="6"/>
      <c r="I200" s="6"/>
      <c r="J200" s="7"/>
      <c r="K200" s="73"/>
      <c r="L200" s="73"/>
      <c r="M200" s="73"/>
      <c r="N200" s="73"/>
      <c r="O200" s="3" t="str">
        <f>IF(C200="","",IF(C200=5,IFERROR(INDEX(code_Note1!$F$13:$F$16,MATCH(E200,code_Note1!$E$13:$E$16,0)),INDEX(code_Note1!$F$16,1)),IF(B200&lt;code_Note1!$D$21,"No",IFERROR(VLOOKUP(C200,code_Note1!$D$3:$G$8,3,FALSE),""))))</f>
        <v>No</v>
      </c>
      <c r="P200" s="3" t="s">
        <v>832</v>
      </c>
    </row>
    <row r="201" spans="1:16" ht="19.5" customHeight="1">
      <c r="A201" s="2" t="s">
        <v>854</v>
      </c>
      <c r="B201" s="38">
        <v>45736</v>
      </c>
      <c r="C201" s="1">
        <v>2</v>
      </c>
      <c r="D201" s="1" t="s">
        <v>838</v>
      </c>
      <c r="E201" s="1" t="s">
        <v>46</v>
      </c>
      <c r="F201" s="8" t="s">
        <v>218</v>
      </c>
      <c r="G201" s="6">
        <v>0</v>
      </c>
      <c r="H201" s="6">
        <v>13000</v>
      </c>
      <c r="I201" s="6"/>
      <c r="J201" s="7"/>
      <c r="K201" s="73"/>
      <c r="L201" s="73"/>
      <c r="M201" s="73"/>
      <c r="N201" s="73"/>
      <c r="O201" s="3" t="str">
        <f>IF(C201="","",IF(C201=5,IFERROR(INDEX(code_Note1!$F$13:$F$16,MATCH(E201,code_Note1!$E$13:$E$16,0)),INDEX(code_Note1!$F$16,1)),IF(B201&lt;code_Note1!$D$21,"No",IFERROR(VLOOKUP(C201,code_Note1!$D$3:$G$8,3,FALSE),""))))</f>
        <v>No</v>
      </c>
      <c r="P201" s="3" t="s">
        <v>831</v>
      </c>
    </row>
    <row r="202" spans="1:16" ht="19.5" customHeight="1">
      <c r="A202" s="2" t="s">
        <v>854</v>
      </c>
      <c r="B202" s="38">
        <v>45736</v>
      </c>
      <c r="C202" s="1">
        <v>2</v>
      </c>
      <c r="D202" s="1" t="s">
        <v>838</v>
      </c>
      <c r="E202" s="1" t="s">
        <v>21</v>
      </c>
      <c r="F202" s="8" t="s">
        <v>219</v>
      </c>
      <c r="G202" s="6">
        <v>1350000</v>
      </c>
      <c r="H202" s="6"/>
      <c r="I202" s="6"/>
      <c r="J202" s="7"/>
      <c r="K202" s="73"/>
      <c r="L202" s="73"/>
      <c r="M202" s="73"/>
      <c r="N202" s="73"/>
      <c r="O202" s="3" t="str">
        <f>IF(C202="","",IF(C202=5,IFERROR(INDEX(code_Note1!$F$13:$F$16,MATCH(E202,code_Note1!$E$13:$E$16,0)),INDEX(code_Note1!$F$16,1)),IF(B202&lt;code_Note1!$D$21,"No",IFERROR(VLOOKUP(C202,code_Note1!$D$3:$G$8,3,FALSE),""))))</f>
        <v>No</v>
      </c>
      <c r="P202" s="3" t="s">
        <v>831</v>
      </c>
    </row>
    <row r="203" spans="1:16" ht="19.5" customHeight="1">
      <c r="A203" s="2" t="s">
        <v>854</v>
      </c>
      <c r="B203" s="38">
        <v>45738</v>
      </c>
      <c r="C203" s="1">
        <v>3</v>
      </c>
      <c r="D203" s="1" t="s">
        <v>823</v>
      </c>
      <c r="E203" s="1" t="s">
        <v>12</v>
      </c>
      <c r="F203" s="8" t="s">
        <v>12</v>
      </c>
      <c r="G203" s="6">
        <v>160000</v>
      </c>
      <c r="H203" s="6"/>
      <c r="I203" s="6"/>
      <c r="J203" s="7"/>
      <c r="K203" s="73"/>
      <c r="L203" s="73"/>
      <c r="M203" s="73"/>
      <c r="N203" s="73"/>
      <c r="O203" s="3" t="str">
        <f>IF(C203="","",IF(C203=5,IFERROR(INDEX(code_Note1!$F$13:$F$16,MATCH(E203,code_Note1!$E$13:$E$16,0)),INDEX(code_Note1!$F$16,1)),IF(B203&lt;code_Note1!$D$21,"No",IFERROR(VLOOKUP(C203,code_Note1!$D$3:$G$8,3,FALSE),""))))</f>
        <v>No</v>
      </c>
      <c r="P203" s="3" t="s">
        <v>832</v>
      </c>
    </row>
    <row r="204" spans="1:16" ht="19.5" customHeight="1">
      <c r="A204" s="2" t="s">
        <v>854</v>
      </c>
      <c r="B204" s="38">
        <v>45738</v>
      </c>
      <c r="C204" s="1">
        <v>2</v>
      </c>
      <c r="D204" s="1" t="s">
        <v>838</v>
      </c>
      <c r="E204" s="1" t="s">
        <v>221</v>
      </c>
      <c r="F204" s="8" t="s">
        <v>220</v>
      </c>
      <c r="G204" s="6">
        <v>0</v>
      </c>
      <c r="H204" s="6"/>
      <c r="I204" s="6">
        <v>300</v>
      </c>
      <c r="J204" s="7"/>
      <c r="K204" s="73"/>
      <c r="L204" s="73"/>
      <c r="M204" s="73"/>
      <c r="N204" s="73"/>
      <c r="O204" s="3" t="str">
        <f>IF(C204="","",IF(C204=5,IFERROR(INDEX(code_Note1!$F$13:$F$16,MATCH(E204,code_Note1!$E$13:$E$16,0)),INDEX(code_Note1!$F$16,1)),IF(B204&lt;code_Note1!$D$21,"No",IFERROR(VLOOKUP(C204,code_Note1!$D$3:$G$8,3,FALSE),""))))</f>
        <v>No</v>
      </c>
      <c r="P204" s="3" t="s">
        <v>831</v>
      </c>
    </row>
    <row r="205" spans="1:16" ht="19.5" customHeight="1">
      <c r="A205" s="2" t="s">
        <v>854</v>
      </c>
      <c r="B205" s="38">
        <v>45738</v>
      </c>
      <c r="C205" s="1">
        <v>3</v>
      </c>
      <c r="D205" s="1" t="s">
        <v>823</v>
      </c>
      <c r="E205" s="1" t="s">
        <v>38</v>
      </c>
      <c r="F205" s="8" t="s">
        <v>222</v>
      </c>
      <c r="G205" s="6">
        <v>900000</v>
      </c>
      <c r="H205" s="6"/>
      <c r="I205" s="6"/>
      <c r="J205" s="7"/>
      <c r="K205" s="73"/>
      <c r="L205" s="73"/>
      <c r="M205" s="73"/>
      <c r="N205" s="73"/>
      <c r="O205" s="3" t="str">
        <f>IF(C205="","",IF(C205=5,IFERROR(INDEX(code_Note1!$F$13:$F$16,MATCH(E205,code_Note1!$E$13:$E$16,0)),INDEX(code_Note1!$F$16,1)),IF(B205&lt;code_Note1!$D$21,"No",IFERROR(VLOOKUP(C205,code_Note1!$D$3:$G$8,3,FALSE),""))))</f>
        <v>No</v>
      </c>
      <c r="P205" s="3" t="s">
        <v>832</v>
      </c>
    </row>
    <row r="206" spans="1:16" ht="19.5" customHeight="1">
      <c r="A206" s="2" t="s">
        <v>854</v>
      </c>
      <c r="B206" s="38">
        <v>45738</v>
      </c>
      <c r="C206" s="1">
        <v>3</v>
      </c>
      <c r="D206" s="1" t="s">
        <v>823</v>
      </c>
      <c r="E206" s="1" t="s">
        <v>38</v>
      </c>
      <c r="F206" s="8" t="s">
        <v>223</v>
      </c>
      <c r="G206" s="6">
        <v>300000</v>
      </c>
      <c r="H206" s="6"/>
      <c r="I206" s="6"/>
      <c r="J206" s="7"/>
      <c r="K206" s="73"/>
      <c r="L206" s="73"/>
      <c r="M206" s="73"/>
      <c r="N206" s="73"/>
      <c r="O206" s="3" t="str">
        <f>IF(C206="","",IF(C206=5,IFERROR(INDEX(code_Note1!$F$13:$F$16,MATCH(E206,code_Note1!$E$13:$E$16,0)),INDEX(code_Note1!$F$16,1)),IF(B206&lt;code_Note1!$D$21,"No",IFERROR(VLOOKUP(C206,code_Note1!$D$3:$G$8,3,FALSE),""))))</f>
        <v>No</v>
      </c>
      <c r="P206" s="3" t="s">
        <v>832</v>
      </c>
    </row>
    <row r="207" spans="1:16" ht="19.5" customHeight="1">
      <c r="A207" s="2" t="s">
        <v>854</v>
      </c>
      <c r="B207" s="38">
        <v>45738</v>
      </c>
      <c r="C207" s="1">
        <v>3</v>
      </c>
      <c r="D207" s="1" t="s">
        <v>823</v>
      </c>
      <c r="E207" s="1" t="s">
        <v>12</v>
      </c>
      <c r="F207" s="8" t="s">
        <v>12</v>
      </c>
      <c r="G207" s="6">
        <v>1633000</v>
      </c>
      <c r="H207" s="6"/>
      <c r="I207" s="6"/>
      <c r="J207" s="7"/>
      <c r="K207" s="73"/>
      <c r="L207" s="73"/>
      <c r="M207" s="73"/>
      <c r="N207" s="73"/>
      <c r="O207" s="3" t="str">
        <f>IF(C207="","",IF(C207=5,IFERROR(INDEX(code_Note1!$F$13:$F$16,MATCH(E207,code_Note1!$E$13:$E$16,0)),INDEX(code_Note1!$F$16,1)),IF(B207&lt;code_Note1!$D$21,"No",IFERROR(VLOOKUP(C207,code_Note1!$D$3:$G$8,3,FALSE),""))))</f>
        <v>No</v>
      </c>
      <c r="P207" s="3" t="s">
        <v>832</v>
      </c>
    </row>
    <row r="208" spans="1:16" ht="19.5" customHeight="1">
      <c r="A208" s="2" t="s">
        <v>854</v>
      </c>
      <c r="B208" s="38">
        <v>45738</v>
      </c>
      <c r="C208" s="1">
        <v>2</v>
      </c>
      <c r="D208" s="1" t="s">
        <v>838</v>
      </c>
      <c r="E208" s="1" t="s">
        <v>46</v>
      </c>
      <c r="F208" s="8" t="s">
        <v>130</v>
      </c>
      <c r="G208" s="6">
        <v>0</v>
      </c>
      <c r="H208" s="6">
        <v>5000</v>
      </c>
      <c r="I208" s="6"/>
      <c r="J208" s="7"/>
      <c r="K208" s="73"/>
      <c r="L208" s="73"/>
      <c r="M208" s="73"/>
      <c r="N208" s="73"/>
      <c r="O208" s="3" t="str">
        <f>IF(C208="","",IF(C208=5,IFERROR(INDEX(code_Note1!$F$13:$F$16,MATCH(E208,code_Note1!$E$13:$E$16,0)),INDEX(code_Note1!$F$16,1)),IF(B208&lt;code_Note1!$D$21,"No",IFERROR(VLOOKUP(C208,code_Note1!$D$3:$G$8,3,FALSE),""))))</f>
        <v>No</v>
      </c>
      <c r="P208" s="3" t="s">
        <v>831</v>
      </c>
    </row>
    <row r="209" spans="1:16" ht="19.5" customHeight="1">
      <c r="A209" s="2" t="s">
        <v>854</v>
      </c>
      <c r="B209" s="38">
        <v>45739</v>
      </c>
      <c r="C209" s="1">
        <v>2</v>
      </c>
      <c r="D209" s="1" t="s">
        <v>838</v>
      </c>
      <c r="E209" s="1" t="s">
        <v>34</v>
      </c>
      <c r="F209" s="8" t="s">
        <v>224</v>
      </c>
      <c r="G209" s="6">
        <v>195000</v>
      </c>
      <c r="H209" s="6"/>
      <c r="I209" s="6">
        <v>2700</v>
      </c>
      <c r="J209" s="7"/>
      <c r="K209" s="73"/>
      <c r="L209" s="73"/>
      <c r="M209" s="73"/>
      <c r="N209" s="73"/>
      <c r="O209" s="3" t="str">
        <f>IF(C209="","",IF(C209=5,IFERROR(INDEX(code_Note1!$F$13:$F$16,MATCH(E209,code_Note1!$E$13:$E$16,0)),INDEX(code_Note1!$F$16,1)),IF(B209&lt;code_Note1!$D$21,"No",IFERROR(VLOOKUP(C209,code_Note1!$D$3:$G$8,3,FALSE),""))))</f>
        <v>No</v>
      </c>
      <c r="P209" s="3" t="s">
        <v>831</v>
      </c>
    </row>
    <row r="210" spans="1:16" ht="19.5" customHeight="1">
      <c r="A210" s="2" t="s">
        <v>854</v>
      </c>
      <c r="B210" s="38">
        <v>45739</v>
      </c>
      <c r="C210" s="1">
        <v>3</v>
      </c>
      <c r="D210" s="1" t="s">
        <v>823</v>
      </c>
      <c r="E210" s="1" t="s">
        <v>12</v>
      </c>
      <c r="F210" s="8" t="s">
        <v>225</v>
      </c>
      <c r="G210" s="6">
        <v>50000</v>
      </c>
      <c r="H210" s="6"/>
      <c r="I210" s="6"/>
      <c r="J210" s="7"/>
      <c r="K210" s="73"/>
      <c r="L210" s="73"/>
      <c r="M210" s="73"/>
      <c r="N210" s="73"/>
      <c r="O210" s="3" t="str">
        <f>IF(C210="","",IF(C210=5,IFERROR(INDEX(code_Note1!$F$13:$F$16,MATCH(E210,code_Note1!$E$13:$E$16,0)),INDEX(code_Note1!$F$16,1)),IF(B210&lt;code_Note1!$D$21,"No",IFERROR(VLOOKUP(C210,code_Note1!$D$3:$G$8,3,FALSE),""))))</f>
        <v>No</v>
      </c>
      <c r="P210" s="3" t="s">
        <v>832</v>
      </c>
    </row>
    <row r="211" spans="1:16" ht="19.5" customHeight="1">
      <c r="A211" s="2" t="s">
        <v>854</v>
      </c>
      <c r="B211" s="38">
        <v>45739</v>
      </c>
      <c r="C211" s="1">
        <v>3</v>
      </c>
      <c r="D211" s="1" t="s">
        <v>823</v>
      </c>
      <c r="E211" s="1" t="s">
        <v>12</v>
      </c>
      <c r="F211" s="8" t="s">
        <v>121</v>
      </c>
      <c r="G211" s="6">
        <v>124000</v>
      </c>
      <c r="H211" s="6"/>
      <c r="I211" s="6"/>
      <c r="J211" s="7"/>
      <c r="K211" s="73"/>
      <c r="L211" s="73"/>
      <c r="M211" s="73"/>
      <c r="N211" s="73"/>
      <c r="O211" s="3" t="str">
        <f>IF(C211="","",IF(C211=5,IFERROR(INDEX(code_Note1!$F$13:$F$16,MATCH(E211,code_Note1!$E$13:$E$16,0)),INDEX(code_Note1!$F$16,1)),IF(B211&lt;code_Note1!$D$21,"No",IFERROR(VLOOKUP(C211,code_Note1!$D$3:$G$8,3,FALSE),""))))</f>
        <v>No</v>
      </c>
      <c r="P211" s="3" t="s">
        <v>832</v>
      </c>
    </row>
    <row r="212" spans="1:16" ht="19.5" customHeight="1">
      <c r="A212" s="2" t="s">
        <v>854</v>
      </c>
      <c r="B212" s="38">
        <v>45739</v>
      </c>
      <c r="C212" s="1">
        <v>3</v>
      </c>
      <c r="D212" s="1" t="s">
        <v>823</v>
      </c>
      <c r="E212" s="1" t="s">
        <v>12</v>
      </c>
      <c r="F212" s="8" t="s">
        <v>118</v>
      </c>
      <c r="G212" s="6">
        <v>124000</v>
      </c>
      <c r="H212" s="6"/>
      <c r="I212" s="6"/>
      <c r="J212" s="7"/>
      <c r="K212" s="73"/>
      <c r="L212" s="73"/>
      <c r="M212" s="73"/>
      <c r="N212" s="73"/>
      <c r="O212" s="3" t="str">
        <f>IF(C212="","",IF(C212=5,IFERROR(INDEX(code_Note1!$F$13:$F$16,MATCH(E212,code_Note1!$E$13:$E$16,0)),INDEX(code_Note1!$F$16,1)),IF(B212&lt;code_Note1!$D$21,"No",IFERROR(VLOOKUP(C212,code_Note1!$D$3:$G$8,3,FALSE),""))))</f>
        <v>No</v>
      </c>
      <c r="P212" s="3" t="s">
        <v>832</v>
      </c>
    </row>
    <row r="213" spans="1:16" ht="19.5" customHeight="1">
      <c r="A213" s="2" t="s">
        <v>854</v>
      </c>
      <c r="B213" s="38">
        <v>45741</v>
      </c>
      <c r="C213" s="1">
        <v>1</v>
      </c>
      <c r="D213" s="1" t="s">
        <v>824</v>
      </c>
      <c r="E213" s="1" t="s">
        <v>54</v>
      </c>
      <c r="F213" s="8" t="s">
        <v>226</v>
      </c>
      <c r="G213" s="6">
        <v>129000</v>
      </c>
      <c r="H213" s="6"/>
      <c r="I213" s="6"/>
      <c r="J213" s="7"/>
      <c r="K213" s="73"/>
      <c r="L213" s="73"/>
      <c r="M213" s="73"/>
      <c r="N213" s="73"/>
      <c r="O213" s="3" t="str">
        <f>IF(C213="","",IF(C213=5,IFERROR(INDEX(code_Note1!$F$13:$F$16,MATCH(E213,code_Note1!$E$13:$E$16,0)),INDEX(code_Note1!$F$16,1)),IF(B213&lt;code_Note1!$D$21,"No",IFERROR(VLOOKUP(C213,code_Note1!$D$3:$G$8,3,FALSE),""))))</f>
        <v>No</v>
      </c>
      <c r="P213" s="3" t="s">
        <v>832</v>
      </c>
    </row>
    <row r="214" spans="1:16" ht="19.5" customHeight="1">
      <c r="A214" s="2" t="s">
        <v>854</v>
      </c>
      <c r="B214" s="38">
        <v>45741</v>
      </c>
      <c r="C214" s="1">
        <v>2</v>
      </c>
      <c r="D214" s="1" t="s">
        <v>838</v>
      </c>
      <c r="E214" s="1" t="s">
        <v>34</v>
      </c>
      <c r="F214" s="8" t="s">
        <v>227</v>
      </c>
      <c r="G214" s="6">
        <v>0</v>
      </c>
      <c r="H214" s="6">
        <v>4860</v>
      </c>
      <c r="I214" s="6"/>
      <c r="J214" s="7"/>
      <c r="K214" s="73"/>
      <c r="L214" s="73"/>
      <c r="M214" s="73"/>
      <c r="N214" s="73"/>
      <c r="O214" s="3" t="str">
        <f>IF(C214="","",IF(C214=5,IFERROR(INDEX(code_Note1!$F$13:$F$16,MATCH(E214,code_Note1!$E$13:$E$16,0)),INDEX(code_Note1!$F$16,1)),IF(B214&lt;code_Note1!$D$21,"No",IFERROR(VLOOKUP(C214,code_Note1!$D$3:$G$8,3,FALSE),""))))</f>
        <v>No</v>
      </c>
      <c r="P214" s="3" t="s">
        <v>831</v>
      </c>
    </row>
    <row r="215" spans="1:16" ht="19.5" customHeight="1">
      <c r="A215" s="2" t="s">
        <v>854</v>
      </c>
      <c r="B215" s="38">
        <v>45741</v>
      </c>
      <c r="C215" s="1">
        <v>3</v>
      </c>
      <c r="D215" s="1" t="s">
        <v>823</v>
      </c>
      <c r="E215" s="1" t="s">
        <v>38</v>
      </c>
      <c r="F215" s="8" t="s">
        <v>228</v>
      </c>
      <c r="G215" s="6">
        <v>65000</v>
      </c>
      <c r="H215" s="6"/>
      <c r="I215" s="6"/>
      <c r="J215" s="7"/>
      <c r="K215" s="73"/>
      <c r="L215" s="73"/>
      <c r="M215" s="73"/>
      <c r="N215" s="73"/>
      <c r="O215" s="3" t="str">
        <f>IF(C215="","",IF(C215=5,IFERROR(INDEX(code_Note1!$F$13:$F$16,MATCH(E215,code_Note1!$E$13:$E$16,0)),INDEX(code_Note1!$F$16,1)),IF(B215&lt;code_Note1!$D$21,"No",IFERROR(VLOOKUP(C215,code_Note1!$D$3:$G$8,3,FALSE),""))))</f>
        <v>No</v>
      </c>
      <c r="P215" s="3" t="s">
        <v>832</v>
      </c>
    </row>
    <row r="216" spans="1:16" ht="19.5" customHeight="1">
      <c r="A216" s="2" t="s">
        <v>854</v>
      </c>
      <c r="B216" s="38">
        <v>45742</v>
      </c>
      <c r="C216" s="1">
        <v>3</v>
      </c>
      <c r="D216" s="1" t="s">
        <v>823</v>
      </c>
      <c r="E216" s="1" t="s">
        <v>44</v>
      </c>
      <c r="F216" s="8" t="s">
        <v>229</v>
      </c>
      <c r="G216" s="6">
        <v>126000</v>
      </c>
      <c r="H216" s="6"/>
      <c r="I216" s="6"/>
      <c r="J216" s="7"/>
      <c r="K216" s="73"/>
      <c r="L216" s="73"/>
      <c r="M216" s="73"/>
      <c r="N216" s="73"/>
      <c r="O216" s="3" t="str">
        <f>IF(C216="","",IF(C216=5,IFERROR(INDEX(code_Note1!$F$13:$F$16,MATCH(E216,code_Note1!$E$13:$E$16,0)),INDEX(code_Note1!$F$16,1)),IF(B216&lt;code_Note1!$D$21,"No",IFERROR(VLOOKUP(C216,code_Note1!$D$3:$G$8,3,FALSE),""))))</f>
        <v>No</v>
      </c>
      <c r="P216" s="3" t="s">
        <v>832</v>
      </c>
    </row>
    <row r="217" spans="1:16" ht="19.5" customHeight="1">
      <c r="A217" s="2" t="s">
        <v>854</v>
      </c>
      <c r="B217" s="38">
        <v>45742</v>
      </c>
      <c r="C217" s="1">
        <v>2</v>
      </c>
      <c r="D217" s="1" t="s">
        <v>838</v>
      </c>
      <c r="E217" s="1" t="s">
        <v>171</v>
      </c>
      <c r="F217" s="8" t="s">
        <v>230</v>
      </c>
      <c r="G217" s="6">
        <v>0</v>
      </c>
      <c r="H217" s="6">
        <v>5000</v>
      </c>
      <c r="I217" s="6"/>
      <c r="J217" s="7"/>
      <c r="K217" s="73"/>
      <c r="L217" s="73"/>
      <c r="M217" s="73"/>
      <c r="N217" s="73"/>
      <c r="O217" s="3" t="str">
        <f>IF(C217="","",IF(C217=5,IFERROR(INDEX(code_Note1!$F$13:$F$16,MATCH(E217,code_Note1!$E$13:$E$16,0)),INDEX(code_Note1!$F$16,1)),IF(B217&lt;code_Note1!$D$21,"No",IFERROR(VLOOKUP(C217,code_Note1!$D$3:$G$8,3,FALSE),""))))</f>
        <v>No</v>
      </c>
      <c r="P217" s="3" t="s">
        <v>831</v>
      </c>
    </row>
    <row r="218" spans="1:16" ht="19.5" customHeight="1">
      <c r="A218" s="2" t="s">
        <v>854</v>
      </c>
      <c r="B218" s="38">
        <v>45743</v>
      </c>
      <c r="C218" s="1">
        <v>3</v>
      </c>
      <c r="D218" s="1" t="s">
        <v>823</v>
      </c>
      <c r="E218" s="1" t="s">
        <v>12</v>
      </c>
      <c r="F218" s="8" t="s">
        <v>231</v>
      </c>
      <c r="G218" s="6">
        <v>200000</v>
      </c>
      <c r="H218" s="6"/>
      <c r="I218" s="6"/>
      <c r="J218" s="7"/>
      <c r="K218" s="73"/>
      <c r="L218" s="73"/>
      <c r="M218" s="73"/>
      <c r="N218" s="73"/>
      <c r="O218" s="3" t="str">
        <f>IF(C218="","",IF(C218=5,IFERROR(INDEX(code_Note1!$F$13:$F$16,MATCH(E218,code_Note1!$E$13:$E$16,0)),INDEX(code_Note1!$F$16,1)),IF(B218&lt;code_Note1!$D$21,"No",IFERROR(VLOOKUP(C218,code_Note1!$D$3:$G$8,3,FALSE),""))))</f>
        <v>No</v>
      </c>
      <c r="P218" s="3" t="s">
        <v>832</v>
      </c>
    </row>
    <row r="219" spans="1:16" ht="19.5" customHeight="1">
      <c r="A219" s="2" t="s">
        <v>854</v>
      </c>
      <c r="B219" s="38">
        <v>45743</v>
      </c>
      <c r="C219" s="1">
        <v>2</v>
      </c>
      <c r="D219" s="1" t="s">
        <v>838</v>
      </c>
      <c r="E219" s="1" t="s">
        <v>46</v>
      </c>
      <c r="F219" s="8" t="s">
        <v>130</v>
      </c>
      <c r="G219" s="6">
        <v>3000000</v>
      </c>
      <c r="H219" s="6"/>
      <c r="I219" s="6"/>
      <c r="J219" s="7"/>
      <c r="K219" s="73"/>
      <c r="L219" s="73"/>
      <c r="M219" s="73"/>
      <c r="N219" s="73"/>
      <c r="O219" s="3" t="str">
        <f>IF(C219="","",IF(C219=5,IFERROR(INDEX(code_Note1!$F$13:$F$16,MATCH(E219,code_Note1!$E$13:$E$16,0)),INDEX(code_Note1!$F$16,1)),IF(B219&lt;code_Note1!$D$21,"No",IFERROR(VLOOKUP(C219,code_Note1!$D$3:$G$8,3,FALSE),""))))</f>
        <v>No</v>
      </c>
      <c r="P219" s="3" t="s">
        <v>831</v>
      </c>
    </row>
    <row r="220" spans="1:16" ht="19.5" customHeight="1">
      <c r="A220" s="2" t="s">
        <v>854</v>
      </c>
      <c r="B220" s="38">
        <v>45745</v>
      </c>
      <c r="C220" s="1">
        <v>3</v>
      </c>
      <c r="D220" s="1" t="s">
        <v>823</v>
      </c>
      <c r="E220" s="1" t="s">
        <v>12</v>
      </c>
      <c r="F220" s="8" t="s">
        <v>35</v>
      </c>
      <c r="G220" s="6">
        <v>392000</v>
      </c>
      <c r="H220" s="6"/>
      <c r="I220" s="6"/>
      <c r="J220" s="7"/>
      <c r="K220" s="73"/>
      <c r="L220" s="73"/>
      <c r="M220" s="73"/>
      <c r="N220" s="73"/>
      <c r="O220" s="3" t="str">
        <f>IF(C220="","",IF(C220=5,IFERROR(INDEX(code_Note1!$F$13:$F$16,MATCH(E220,code_Note1!$E$13:$E$16,0)),INDEX(code_Note1!$F$16,1)),IF(B220&lt;code_Note1!$D$21,"No",IFERROR(VLOOKUP(C220,code_Note1!$D$3:$G$8,3,FALSE),""))))</f>
        <v>No</v>
      </c>
      <c r="P220" s="3" t="s">
        <v>832</v>
      </c>
    </row>
    <row r="221" spans="1:16" ht="19.5" customHeight="1">
      <c r="A221" s="2" t="s">
        <v>854</v>
      </c>
      <c r="B221" s="38">
        <v>45745</v>
      </c>
      <c r="C221" s="1">
        <v>3</v>
      </c>
      <c r="D221" s="1" t="s">
        <v>823</v>
      </c>
      <c r="E221" s="1" t="s">
        <v>38</v>
      </c>
      <c r="F221" s="8" t="s">
        <v>232</v>
      </c>
      <c r="G221" s="6">
        <v>150000</v>
      </c>
      <c r="H221" s="6"/>
      <c r="I221" s="6"/>
      <c r="J221" s="7"/>
      <c r="K221" s="73"/>
      <c r="L221" s="73"/>
      <c r="M221" s="73"/>
      <c r="N221" s="73"/>
      <c r="O221" s="3" t="str">
        <f>IF(C221="","",IF(C221=5,IFERROR(INDEX(code_Note1!$F$13:$F$16,MATCH(E221,code_Note1!$E$13:$E$16,0)),INDEX(code_Note1!$F$16,1)),IF(B221&lt;code_Note1!$D$21,"No",IFERROR(VLOOKUP(C221,code_Note1!$D$3:$G$8,3,FALSE),""))))</f>
        <v>No</v>
      </c>
      <c r="P221" s="3" t="s">
        <v>832</v>
      </c>
    </row>
    <row r="222" spans="1:16" ht="19.5" customHeight="1">
      <c r="A222" s="2" t="s">
        <v>854</v>
      </c>
      <c r="B222" s="38">
        <v>45745</v>
      </c>
      <c r="C222" s="1">
        <v>2</v>
      </c>
      <c r="D222" s="1" t="s">
        <v>838</v>
      </c>
      <c r="E222" s="1" t="s">
        <v>46</v>
      </c>
      <c r="F222" s="8" t="s">
        <v>130</v>
      </c>
      <c r="G222" s="6">
        <v>7600000</v>
      </c>
      <c r="H222" s="6"/>
      <c r="I222" s="6"/>
      <c r="J222" s="7"/>
      <c r="K222" s="73"/>
      <c r="L222" s="73"/>
      <c r="M222" s="73"/>
      <c r="N222" s="73"/>
      <c r="O222" s="3" t="str">
        <f>IF(C222="","",IF(C222=5,IFERROR(INDEX(code_Note1!$F$13:$F$16,MATCH(E222,code_Note1!$E$13:$E$16,0)),INDEX(code_Note1!$F$16,1)),IF(B222&lt;code_Note1!$D$21,"No",IFERROR(VLOOKUP(C222,code_Note1!$D$3:$G$8,3,FALSE),""))))</f>
        <v>No</v>
      </c>
      <c r="P222" s="3" t="s">
        <v>831</v>
      </c>
    </row>
    <row r="223" spans="1:16" ht="19.5" customHeight="1">
      <c r="A223" s="2" t="s">
        <v>854</v>
      </c>
      <c r="B223" s="38">
        <v>45745</v>
      </c>
      <c r="C223" s="1">
        <v>3</v>
      </c>
      <c r="D223" s="1" t="s">
        <v>823</v>
      </c>
      <c r="E223" s="1" t="s">
        <v>12</v>
      </c>
      <c r="F223" s="8" t="s">
        <v>233</v>
      </c>
      <c r="G223" s="6">
        <v>45000</v>
      </c>
      <c r="H223" s="6"/>
      <c r="I223" s="6"/>
      <c r="J223" s="7"/>
      <c r="K223" s="73"/>
      <c r="L223" s="73"/>
      <c r="M223" s="73"/>
      <c r="N223" s="73"/>
      <c r="O223" s="3" t="str">
        <f>IF(C223="","",IF(C223=5,IFERROR(INDEX(code_Note1!$F$13:$F$16,MATCH(E223,code_Note1!$E$13:$E$16,0)),INDEX(code_Note1!$F$16,1)),IF(B223&lt;code_Note1!$D$21,"No",IFERROR(VLOOKUP(C223,code_Note1!$D$3:$G$8,3,FALSE),""))))</f>
        <v>No</v>
      </c>
      <c r="P223" s="3" t="s">
        <v>832</v>
      </c>
    </row>
    <row r="224" spans="1:16" ht="19.5" customHeight="1">
      <c r="A224" s="2" t="s">
        <v>854</v>
      </c>
      <c r="B224" s="38">
        <v>45745</v>
      </c>
      <c r="C224" s="1">
        <v>3</v>
      </c>
      <c r="D224" s="1" t="s">
        <v>823</v>
      </c>
      <c r="E224" s="1" t="s">
        <v>12</v>
      </c>
      <c r="F224" s="8" t="s">
        <v>234</v>
      </c>
      <c r="G224" s="6">
        <v>200000</v>
      </c>
      <c r="H224" s="6"/>
      <c r="I224" s="6"/>
      <c r="J224" s="7"/>
      <c r="K224" s="73"/>
      <c r="L224" s="73"/>
      <c r="M224" s="73"/>
      <c r="N224" s="73"/>
      <c r="O224" s="3" t="str">
        <f>IF(C224="","",IF(C224=5,IFERROR(INDEX(code_Note1!$F$13:$F$16,MATCH(E224,code_Note1!$E$13:$E$16,0)),INDEX(code_Note1!$F$16,1)),IF(B224&lt;code_Note1!$D$21,"No",IFERROR(VLOOKUP(C224,code_Note1!$D$3:$G$8,3,FALSE),""))))</f>
        <v>No</v>
      </c>
      <c r="P224" s="3" t="s">
        <v>832</v>
      </c>
    </row>
    <row r="225" spans="1:16" ht="19.5" customHeight="1">
      <c r="A225" s="2" t="s">
        <v>854</v>
      </c>
      <c r="B225" s="38">
        <v>45745</v>
      </c>
      <c r="C225" s="1">
        <v>2</v>
      </c>
      <c r="D225" s="1" t="s">
        <v>838</v>
      </c>
      <c r="E225" s="1" t="s">
        <v>21</v>
      </c>
      <c r="F225" s="8" t="s">
        <v>235</v>
      </c>
      <c r="G225" s="6">
        <v>400000</v>
      </c>
      <c r="H225" s="6"/>
      <c r="I225" s="6"/>
      <c r="J225" s="7"/>
      <c r="K225" s="73"/>
      <c r="L225" s="73"/>
      <c r="M225" s="73"/>
      <c r="N225" s="73"/>
      <c r="O225" s="3" t="str">
        <f>IF(C225="","",IF(C225=5,IFERROR(INDEX(code_Note1!$F$13:$F$16,MATCH(E225,code_Note1!$E$13:$E$16,0)),INDEX(code_Note1!$F$16,1)),IF(B225&lt;code_Note1!$D$21,"No",IFERROR(VLOOKUP(C225,code_Note1!$D$3:$G$8,3,FALSE),""))))</f>
        <v>No</v>
      </c>
      <c r="P225" s="3" t="s">
        <v>831</v>
      </c>
    </row>
    <row r="226" spans="1:16" ht="19.5" customHeight="1">
      <c r="A226" s="2" t="s">
        <v>854</v>
      </c>
      <c r="B226" s="38">
        <v>45745</v>
      </c>
      <c r="C226" s="1">
        <v>3</v>
      </c>
      <c r="D226" s="1" t="s">
        <v>823</v>
      </c>
      <c r="E226" s="1" t="s">
        <v>12</v>
      </c>
      <c r="F226" s="8" t="s">
        <v>236</v>
      </c>
      <c r="G226" s="6">
        <v>300000</v>
      </c>
      <c r="H226" s="6"/>
      <c r="I226" s="6"/>
      <c r="J226" s="7"/>
      <c r="K226" s="73"/>
      <c r="L226" s="73"/>
      <c r="M226" s="73"/>
      <c r="N226" s="73"/>
      <c r="O226" s="3" t="str">
        <f>IF(C226="","",IF(C226=5,IFERROR(INDEX(code_Note1!$F$13:$F$16,MATCH(E226,code_Note1!$E$13:$E$16,0)),INDEX(code_Note1!$F$16,1)),IF(B226&lt;code_Note1!$D$21,"No",IFERROR(VLOOKUP(C226,code_Note1!$D$3:$G$8,3,FALSE),""))))</f>
        <v>No</v>
      </c>
      <c r="P226" s="3" t="s">
        <v>832</v>
      </c>
    </row>
    <row r="227" spans="1:16" ht="19.5" customHeight="1">
      <c r="A227" s="2" t="s">
        <v>854</v>
      </c>
      <c r="B227" s="38">
        <v>45745</v>
      </c>
      <c r="C227" s="1">
        <v>2</v>
      </c>
      <c r="D227" s="1" t="s">
        <v>838</v>
      </c>
      <c r="E227" s="1" t="s">
        <v>42</v>
      </c>
      <c r="F227" s="8" t="s">
        <v>237</v>
      </c>
      <c r="G227" s="6">
        <v>0</v>
      </c>
      <c r="H227" s="6">
        <v>5000</v>
      </c>
      <c r="I227" s="6"/>
      <c r="J227" s="7"/>
      <c r="K227" s="73"/>
      <c r="L227" s="73"/>
      <c r="M227" s="73"/>
      <c r="N227" s="73"/>
      <c r="O227" s="3" t="str">
        <f>IF(C227="","",IF(C227=5,IFERROR(INDEX(code_Note1!$F$13:$F$16,MATCH(E227,code_Note1!$E$13:$E$16,0)),INDEX(code_Note1!$F$16,1)),IF(B227&lt;code_Note1!$D$21,"No",IFERROR(VLOOKUP(C227,code_Note1!$D$3:$G$8,3,FALSE),""))))</f>
        <v>No</v>
      </c>
      <c r="P227" s="3" t="s">
        <v>831</v>
      </c>
    </row>
    <row r="228" spans="1:16" ht="19.5" customHeight="1">
      <c r="A228" s="2" t="s">
        <v>854</v>
      </c>
      <c r="B228" s="38">
        <v>45745</v>
      </c>
      <c r="C228" s="1">
        <v>3</v>
      </c>
      <c r="D228" s="1" t="s">
        <v>823</v>
      </c>
      <c r="E228" s="1" t="s">
        <v>147</v>
      </c>
      <c r="F228" s="8" t="s">
        <v>209</v>
      </c>
      <c r="G228" s="6">
        <v>740000</v>
      </c>
      <c r="H228" s="6"/>
      <c r="I228" s="6"/>
      <c r="J228" s="7"/>
      <c r="K228" s="73"/>
      <c r="L228" s="73"/>
      <c r="M228" s="73"/>
      <c r="N228" s="73"/>
      <c r="O228" s="3" t="str">
        <f>IF(C228="","",IF(C228=5,IFERROR(INDEX(code_Note1!$F$13:$F$16,MATCH(E228,code_Note1!$E$13:$E$16,0)),INDEX(code_Note1!$F$16,1)),IF(B228&lt;code_Note1!$D$21,"No",IFERROR(VLOOKUP(C228,code_Note1!$D$3:$G$8,3,FALSE),""))))</f>
        <v>No</v>
      </c>
      <c r="P228" s="3" t="s">
        <v>832</v>
      </c>
    </row>
    <row r="229" spans="1:16" ht="19.5" customHeight="1">
      <c r="A229" s="2" t="s">
        <v>854</v>
      </c>
      <c r="B229" s="38">
        <v>45746</v>
      </c>
      <c r="C229" s="1">
        <v>2</v>
      </c>
      <c r="D229" s="1" t="s">
        <v>838</v>
      </c>
      <c r="E229" s="1" t="s">
        <v>21</v>
      </c>
      <c r="F229" s="8" t="s">
        <v>238</v>
      </c>
      <c r="G229" s="6">
        <v>3403</v>
      </c>
      <c r="H229" s="6"/>
      <c r="I229" s="6"/>
      <c r="J229" s="7"/>
      <c r="K229" s="73"/>
      <c r="L229" s="73"/>
      <c r="M229" s="73"/>
      <c r="N229" s="73"/>
      <c r="O229" s="3" t="str">
        <f>IF(C229="","",IF(C229=5,IFERROR(INDEX(code_Note1!$F$13:$F$16,MATCH(E229,code_Note1!$E$13:$E$16,0)),INDEX(code_Note1!$F$16,1)),IF(B229&lt;code_Note1!$D$21,"No",IFERROR(VLOOKUP(C229,code_Note1!$D$3:$G$8,3,FALSE),""))))</f>
        <v>No</v>
      </c>
      <c r="P229" s="3" t="s">
        <v>831</v>
      </c>
    </row>
    <row r="230" spans="1:16" ht="19.5" customHeight="1">
      <c r="A230" s="2" t="s">
        <v>854</v>
      </c>
      <c r="B230" s="38">
        <v>45746</v>
      </c>
      <c r="C230" s="1">
        <v>3</v>
      </c>
      <c r="D230" s="1" t="s">
        <v>823</v>
      </c>
      <c r="E230" s="1" t="s">
        <v>38</v>
      </c>
      <c r="F230" s="8" t="s">
        <v>239</v>
      </c>
      <c r="G230" s="6">
        <v>225</v>
      </c>
      <c r="H230" s="6"/>
      <c r="I230" s="6"/>
      <c r="J230" s="7"/>
      <c r="K230" s="73"/>
      <c r="L230" s="73"/>
      <c r="M230" s="73"/>
      <c r="N230" s="73"/>
      <c r="O230" s="3" t="str">
        <f>IF(C230="","",IF(C230=5,IFERROR(INDEX(code_Note1!$F$13:$F$16,MATCH(E230,code_Note1!$E$13:$E$16,0)),INDEX(code_Note1!$F$16,1)),IF(B230&lt;code_Note1!$D$21,"No",IFERROR(VLOOKUP(C230,code_Note1!$D$3:$G$8,3,FALSE),""))))</f>
        <v>No</v>
      </c>
      <c r="P230" s="3" t="s">
        <v>832</v>
      </c>
    </row>
    <row r="231" spans="1:16" ht="19.5" customHeight="1">
      <c r="A231" s="2" t="s">
        <v>854</v>
      </c>
      <c r="B231" s="38">
        <v>45746</v>
      </c>
      <c r="C231" s="1">
        <v>2</v>
      </c>
      <c r="D231" s="1" t="s">
        <v>838</v>
      </c>
      <c r="E231" s="1" t="s">
        <v>21</v>
      </c>
      <c r="F231" s="8" t="s">
        <v>240</v>
      </c>
      <c r="G231" s="6">
        <v>3649</v>
      </c>
      <c r="H231" s="6"/>
      <c r="I231" s="6"/>
      <c r="J231" s="7"/>
      <c r="K231" s="73"/>
      <c r="L231" s="73"/>
      <c r="M231" s="73"/>
      <c r="N231" s="73"/>
      <c r="O231" s="3" t="str">
        <f>IF(C231="","",IF(C231=5,IFERROR(INDEX(code_Note1!$F$13:$F$16,MATCH(E231,code_Note1!$E$13:$E$16,0)),INDEX(code_Note1!$F$16,1)),IF(B231&lt;code_Note1!$D$21,"No",IFERROR(VLOOKUP(C231,code_Note1!$D$3:$G$8,3,FALSE),""))))</f>
        <v>No</v>
      </c>
      <c r="P231" s="3" t="s">
        <v>831</v>
      </c>
    </row>
    <row r="232" spans="1:16" ht="19.5" customHeight="1">
      <c r="A232" s="2" t="s">
        <v>854</v>
      </c>
      <c r="B232" s="38">
        <v>45746</v>
      </c>
      <c r="C232" s="1">
        <v>3</v>
      </c>
      <c r="D232" s="1" t="s">
        <v>823</v>
      </c>
      <c r="E232" s="1" t="s">
        <v>38</v>
      </c>
      <c r="F232" s="8" t="s">
        <v>241</v>
      </c>
      <c r="G232" s="6">
        <v>99</v>
      </c>
      <c r="H232" s="6"/>
      <c r="I232" s="6"/>
      <c r="J232" s="7"/>
      <c r="K232" s="73"/>
      <c r="L232" s="73"/>
      <c r="M232" s="73"/>
      <c r="N232" s="73"/>
      <c r="O232" s="3" t="str">
        <f>IF(C232="","",IF(C232=5,IFERROR(INDEX(code_Note1!$F$13:$F$16,MATCH(E232,code_Note1!$E$13:$E$16,0)),INDEX(code_Note1!$F$16,1)),IF(B232&lt;code_Note1!$D$21,"No",IFERROR(VLOOKUP(C232,code_Note1!$D$3:$G$8,3,FALSE),""))))</f>
        <v>No</v>
      </c>
      <c r="P232" s="3" t="s">
        <v>832</v>
      </c>
    </row>
    <row r="233" spans="1:16" ht="19.5" customHeight="1">
      <c r="A233" s="2" t="s">
        <v>854</v>
      </c>
      <c r="B233" s="38">
        <v>45748</v>
      </c>
      <c r="C233" s="1">
        <v>2</v>
      </c>
      <c r="D233" s="1" t="s">
        <v>838</v>
      </c>
      <c r="E233" s="1" t="s">
        <v>34</v>
      </c>
      <c r="F233" s="8" t="s">
        <v>82</v>
      </c>
      <c r="G233" s="6">
        <v>0</v>
      </c>
      <c r="H233" s="6"/>
      <c r="I233" s="6">
        <v>9086</v>
      </c>
      <c r="J233" s="7"/>
      <c r="K233" s="73"/>
      <c r="L233" s="73"/>
      <c r="M233" s="73"/>
      <c r="N233" s="73"/>
      <c r="O233" s="3" t="str">
        <f>IF(C233="","",IF(C233=5,IFERROR(INDEX(code_Note1!$F$13:$F$16,MATCH(E233,code_Note1!$E$13:$E$16,0)),INDEX(code_Note1!$F$16,1)),IF(B233&lt;code_Note1!$D$21,"No",IFERROR(VLOOKUP(C233,code_Note1!$D$3:$G$8,3,FALSE),""))))</f>
        <v>No</v>
      </c>
      <c r="P233" s="3" t="s">
        <v>831</v>
      </c>
    </row>
    <row r="234" spans="1:16" ht="19.5" customHeight="1">
      <c r="A234" s="2" t="s">
        <v>854</v>
      </c>
      <c r="B234" s="38">
        <v>45748</v>
      </c>
      <c r="C234" s="1">
        <v>2</v>
      </c>
      <c r="D234" s="1" t="s">
        <v>838</v>
      </c>
      <c r="E234" s="1" t="s">
        <v>171</v>
      </c>
      <c r="F234" s="8" t="s">
        <v>242</v>
      </c>
      <c r="G234" s="6">
        <v>0</v>
      </c>
      <c r="H234" s="6">
        <v>2000</v>
      </c>
      <c r="I234" s="6">
        <v>4600</v>
      </c>
      <c r="J234" s="7"/>
      <c r="K234" s="73"/>
      <c r="L234" s="73"/>
      <c r="M234" s="73"/>
      <c r="N234" s="73"/>
      <c r="O234" s="3" t="str">
        <f>IF(C234="","",IF(C234=5,IFERROR(INDEX(code_Note1!$F$13:$F$16,MATCH(E234,code_Note1!$E$13:$E$16,0)),INDEX(code_Note1!$F$16,1)),IF(B234&lt;code_Note1!$D$21,"No",IFERROR(VLOOKUP(C234,code_Note1!$D$3:$G$8,3,FALSE),""))))</f>
        <v>No</v>
      </c>
      <c r="P234" s="3" t="s">
        <v>831</v>
      </c>
    </row>
    <row r="235" spans="1:16" ht="19.5" customHeight="1">
      <c r="A235" s="2" t="s">
        <v>854</v>
      </c>
      <c r="B235" s="38">
        <v>45748</v>
      </c>
      <c r="C235" s="1">
        <v>3</v>
      </c>
      <c r="D235" s="1" t="s">
        <v>823</v>
      </c>
      <c r="E235" s="1" t="s">
        <v>12</v>
      </c>
      <c r="F235" s="8" t="s">
        <v>12</v>
      </c>
      <c r="G235" s="6">
        <v>496000</v>
      </c>
      <c r="H235" s="6"/>
      <c r="I235" s="6"/>
      <c r="J235" s="7"/>
      <c r="K235" s="73"/>
      <c r="L235" s="73"/>
      <c r="M235" s="73"/>
      <c r="N235" s="73"/>
      <c r="O235" s="3" t="str">
        <f>IF(C235="","",IF(C235=5,IFERROR(INDEX(code_Note1!$F$13:$F$16,MATCH(E235,code_Note1!$E$13:$E$16,0)),INDEX(code_Note1!$F$16,1)),IF(B235&lt;code_Note1!$D$21,"No",IFERROR(VLOOKUP(C235,code_Note1!$D$3:$G$8,3,FALSE),""))))</f>
        <v>No</v>
      </c>
      <c r="P235" s="3" t="s">
        <v>832</v>
      </c>
    </row>
    <row r="236" spans="1:16" ht="19.5" customHeight="1">
      <c r="A236" s="2" t="s">
        <v>854</v>
      </c>
      <c r="B236" s="38">
        <v>45748</v>
      </c>
      <c r="C236" s="1">
        <v>2</v>
      </c>
      <c r="D236" s="1" t="s">
        <v>838</v>
      </c>
      <c r="E236" s="1" t="s">
        <v>14</v>
      </c>
      <c r="F236" s="8" t="s">
        <v>243</v>
      </c>
      <c r="G236" s="6">
        <v>0</v>
      </c>
      <c r="H236" s="6">
        <v>5507</v>
      </c>
      <c r="I236" s="6"/>
      <c r="J236" s="7"/>
      <c r="K236" s="73"/>
      <c r="L236" s="73"/>
      <c r="M236" s="73"/>
      <c r="N236" s="73"/>
      <c r="O236" s="3" t="str">
        <f>IF(C236="","",IF(C236=5,IFERROR(INDEX(code_Note1!$F$13:$F$16,MATCH(E236,code_Note1!$E$13:$E$16,0)),INDEX(code_Note1!$F$16,1)),IF(B236&lt;code_Note1!$D$21,"No",IFERROR(VLOOKUP(C236,code_Note1!$D$3:$G$8,3,FALSE),""))))</f>
        <v>No</v>
      </c>
      <c r="P236" s="3" t="s">
        <v>831</v>
      </c>
    </row>
    <row r="237" spans="1:16" ht="19.5" customHeight="1">
      <c r="A237" s="2" t="s">
        <v>854</v>
      </c>
      <c r="B237" s="38">
        <v>45748</v>
      </c>
      <c r="C237" s="1">
        <v>2</v>
      </c>
      <c r="D237" s="1" t="s">
        <v>838</v>
      </c>
      <c r="E237" s="1" t="s">
        <v>221</v>
      </c>
      <c r="F237" s="8" t="s">
        <v>244</v>
      </c>
      <c r="G237" s="6">
        <v>0</v>
      </c>
      <c r="H237" s="6"/>
      <c r="I237" s="6">
        <v>380</v>
      </c>
      <c r="J237" s="7"/>
      <c r="K237" s="73"/>
      <c r="L237" s="73"/>
      <c r="M237" s="73"/>
      <c r="N237" s="73"/>
      <c r="O237" s="3" t="str">
        <f>IF(C237="","",IF(C237=5,IFERROR(INDEX(code_Note1!$F$13:$F$16,MATCH(E237,code_Note1!$E$13:$E$16,0)),INDEX(code_Note1!$F$16,1)),IF(B237&lt;code_Note1!$D$21,"No",IFERROR(VLOOKUP(C237,code_Note1!$D$3:$G$8,3,FALSE),""))))</f>
        <v>No</v>
      </c>
      <c r="P237" s="3" t="s">
        <v>831</v>
      </c>
    </row>
    <row r="238" spans="1:16" ht="19.5" customHeight="1">
      <c r="A238" s="2" t="s">
        <v>854</v>
      </c>
      <c r="B238" s="38">
        <v>45749</v>
      </c>
      <c r="C238" s="1">
        <v>2</v>
      </c>
      <c r="D238" s="1" t="s">
        <v>838</v>
      </c>
      <c r="E238" s="1" t="s">
        <v>51</v>
      </c>
      <c r="F238" s="8" t="s">
        <v>245</v>
      </c>
      <c r="G238" s="6">
        <v>450000</v>
      </c>
      <c r="H238" s="6"/>
      <c r="I238" s="6"/>
      <c r="J238" s="7"/>
      <c r="K238" s="73"/>
      <c r="L238" s="73"/>
      <c r="M238" s="73"/>
      <c r="N238" s="73"/>
      <c r="O238" s="3" t="str">
        <f>IF(C238="","",IF(C238=5,IFERROR(INDEX(code_Note1!$F$13:$F$16,MATCH(E238,code_Note1!$E$13:$E$16,0)),INDEX(code_Note1!$F$16,1)),IF(B238&lt;code_Note1!$D$21,"No",IFERROR(VLOOKUP(C238,code_Note1!$D$3:$G$8,3,FALSE),""))))</f>
        <v>No</v>
      </c>
      <c r="P238" s="3" t="s">
        <v>831</v>
      </c>
    </row>
    <row r="239" spans="1:16" ht="19.5" customHeight="1">
      <c r="A239" s="2" t="s">
        <v>854</v>
      </c>
      <c r="B239" s="38">
        <v>45749</v>
      </c>
      <c r="C239" s="1">
        <v>2</v>
      </c>
      <c r="D239" s="1" t="s">
        <v>838</v>
      </c>
      <c r="E239" s="1" t="s">
        <v>21</v>
      </c>
      <c r="F239" s="8" t="s">
        <v>246</v>
      </c>
      <c r="G239" s="6">
        <v>1040000</v>
      </c>
      <c r="H239" s="6"/>
      <c r="I239" s="6"/>
      <c r="J239" s="7"/>
      <c r="K239" s="73"/>
      <c r="L239" s="73"/>
      <c r="M239" s="73"/>
      <c r="N239" s="73"/>
      <c r="O239" s="3" t="str">
        <f>IF(C239="","",IF(C239=5,IFERROR(INDEX(code_Note1!$F$13:$F$16,MATCH(E239,code_Note1!$E$13:$E$16,0)),INDEX(code_Note1!$F$16,1)),IF(B239&lt;code_Note1!$D$21,"No",IFERROR(VLOOKUP(C239,code_Note1!$D$3:$G$8,3,FALSE),""))))</f>
        <v>No</v>
      </c>
      <c r="P239" s="3" t="s">
        <v>831</v>
      </c>
    </row>
    <row r="240" spans="1:16" ht="19.5" customHeight="1">
      <c r="A240" s="2" t="s">
        <v>854</v>
      </c>
      <c r="B240" s="38">
        <v>45750</v>
      </c>
      <c r="C240" s="1">
        <v>3</v>
      </c>
      <c r="D240" s="1" t="s">
        <v>823</v>
      </c>
      <c r="E240" s="1" t="s">
        <v>12</v>
      </c>
      <c r="F240" s="8" t="s">
        <v>247</v>
      </c>
      <c r="G240" s="6">
        <v>50000</v>
      </c>
      <c r="H240" s="6"/>
      <c r="I240" s="6"/>
      <c r="J240" s="7"/>
      <c r="K240" s="73"/>
      <c r="L240" s="73"/>
      <c r="M240" s="73"/>
      <c r="N240" s="73"/>
      <c r="O240" s="3" t="str">
        <f>IF(C240="","",IF(C240=5,IFERROR(INDEX(code_Note1!$F$13:$F$16,MATCH(E240,code_Note1!$E$13:$E$16,0)),INDEX(code_Note1!$F$16,1)),IF(B240&lt;code_Note1!$D$21,"No",IFERROR(VLOOKUP(C240,code_Note1!$D$3:$G$8,3,FALSE),""))))</f>
        <v>No</v>
      </c>
      <c r="P240" s="3" t="s">
        <v>832</v>
      </c>
    </row>
    <row r="241" spans="1:16" ht="19.5" customHeight="1">
      <c r="A241" s="2" t="s">
        <v>854</v>
      </c>
      <c r="B241" s="38">
        <v>45751</v>
      </c>
      <c r="C241" s="1">
        <v>3</v>
      </c>
      <c r="D241" s="1" t="s">
        <v>823</v>
      </c>
      <c r="E241" s="1" t="s">
        <v>44</v>
      </c>
      <c r="F241" s="8" t="s">
        <v>187</v>
      </c>
      <c r="G241" s="6">
        <v>180000</v>
      </c>
      <c r="H241" s="6"/>
      <c r="I241" s="6"/>
      <c r="J241" s="7"/>
      <c r="K241" s="73"/>
      <c r="L241" s="73"/>
      <c r="M241" s="73"/>
      <c r="N241" s="73"/>
      <c r="O241" s="3" t="str">
        <f>IF(C241="","",IF(C241=5,IFERROR(INDEX(code_Note1!$F$13:$F$16,MATCH(E241,code_Note1!$E$13:$E$16,0)),INDEX(code_Note1!$F$16,1)),IF(B241&lt;code_Note1!$D$21,"No",IFERROR(VLOOKUP(C241,code_Note1!$D$3:$G$8,3,FALSE),""))))</f>
        <v>No</v>
      </c>
      <c r="P241" s="3" t="s">
        <v>832</v>
      </c>
    </row>
    <row r="242" spans="1:16" ht="19.5" customHeight="1">
      <c r="A242" s="2" t="s">
        <v>854</v>
      </c>
      <c r="B242" s="38">
        <v>45751</v>
      </c>
      <c r="C242" s="1">
        <v>2</v>
      </c>
      <c r="D242" s="1" t="s">
        <v>838</v>
      </c>
      <c r="E242" s="1" t="s">
        <v>21</v>
      </c>
      <c r="F242" s="8" t="s">
        <v>248</v>
      </c>
      <c r="G242" s="6">
        <v>85000</v>
      </c>
      <c r="H242" s="6"/>
      <c r="I242" s="6"/>
      <c r="J242" s="7"/>
      <c r="K242" s="73"/>
      <c r="L242" s="73"/>
      <c r="M242" s="73"/>
      <c r="N242" s="73"/>
      <c r="O242" s="3" t="str">
        <f>IF(C242="","",IF(C242=5,IFERROR(INDEX(code_Note1!$F$13:$F$16,MATCH(E242,code_Note1!$E$13:$E$16,0)),INDEX(code_Note1!$F$16,1)),IF(B242&lt;code_Note1!$D$21,"No",IFERROR(VLOOKUP(C242,code_Note1!$D$3:$G$8,3,FALSE),""))))</f>
        <v>No</v>
      </c>
      <c r="P242" s="3" t="s">
        <v>831</v>
      </c>
    </row>
    <row r="243" spans="1:16" ht="19.5" customHeight="1">
      <c r="A243" s="2" t="s">
        <v>854</v>
      </c>
      <c r="B243" s="38">
        <v>45751</v>
      </c>
      <c r="C243" s="1">
        <v>2</v>
      </c>
      <c r="D243" s="1" t="s">
        <v>838</v>
      </c>
      <c r="E243" s="1" t="s">
        <v>21</v>
      </c>
      <c r="F243" s="8" t="s">
        <v>249</v>
      </c>
      <c r="G243" s="6">
        <v>22000</v>
      </c>
      <c r="H243" s="6"/>
      <c r="I243" s="6"/>
      <c r="J243" s="7"/>
      <c r="K243" s="73"/>
      <c r="L243" s="73"/>
      <c r="M243" s="73"/>
      <c r="N243" s="73"/>
      <c r="O243" s="3" t="str">
        <f>IF(C243="","",IF(C243=5,IFERROR(INDEX(code_Note1!$F$13:$F$16,MATCH(E243,code_Note1!$E$13:$E$16,0)),INDEX(code_Note1!$F$16,1)),IF(B243&lt;code_Note1!$D$21,"No",IFERROR(VLOOKUP(C243,code_Note1!$D$3:$G$8,3,FALSE),""))))</f>
        <v>No</v>
      </c>
      <c r="P243" s="3" t="s">
        <v>831</v>
      </c>
    </row>
    <row r="244" spans="1:16" ht="19.5" customHeight="1">
      <c r="A244" s="2" t="s">
        <v>854</v>
      </c>
      <c r="B244" s="38">
        <v>45752</v>
      </c>
      <c r="C244" s="1">
        <v>2</v>
      </c>
      <c r="D244" s="1" t="s">
        <v>838</v>
      </c>
      <c r="E244" s="1" t="s">
        <v>166</v>
      </c>
      <c r="F244" s="8" t="s">
        <v>250</v>
      </c>
      <c r="G244" s="6">
        <v>0</v>
      </c>
      <c r="H244" s="6">
        <v>0</v>
      </c>
      <c r="I244" s="6">
        <v>400</v>
      </c>
      <c r="J244" s="7"/>
      <c r="K244" s="73"/>
      <c r="L244" s="73"/>
      <c r="M244" s="73"/>
      <c r="N244" s="73"/>
      <c r="O244" s="3" t="str">
        <f>IF(C244="","",IF(C244=5,IFERROR(INDEX(code_Note1!$F$13:$F$16,MATCH(E244,code_Note1!$E$13:$E$16,0)),INDEX(code_Note1!$F$16,1)),IF(B244&lt;code_Note1!$D$21,"No",IFERROR(VLOOKUP(C244,code_Note1!$D$3:$G$8,3,FALSE),""))))</f>
        <v>No</v>
      </c>
      <c r="P244" s="3" t="s">
        <v>831</v>
      </c>
    </row>
    <row r="245" spans="1:16" ht="19.5" customHeight="1">
      <c r="A245" s="2" t="s">
        <v>854</v>
      </c>
      <c r="B245" s="38">
        <v>45753</v>
      </c>
      <c r="C245" s="1">
        <v>2</v>
      </c>
      <c r="D245" s="1" t="s">
        <v>838</v>
      </c>
      <c r="E245" s="1" t="s">
        <v>46</v>
      </c>
      <c r="F245" s="8" t="s">
        <v>251</v>
      </c>
      <c r="G245" s="6">
        <v>1200000</v>
      </c>
      <c r="H245" s="6"/>
      <c r="I245" s="6"/>
      <c r="J245" s="7"/>
      <c r="K245" s="73"/>
      <c r="L245" s="73"/>
      <c r="M245" s="73"/>
      <c r="N245" s="73"/>
      <c r="O245" s="3" t="str">
        <f>IF(C245="","",IF(C245=5,IFERROR(INDEX(code_Note1!$F$13:$F$16,MATCH(E245,code_Note1!$E$13:$E$16,0)),INDEX(code_Note1!$F$16,1)),IF(B245&lt;code_Note1!$D$21,"No",IFERROR(VLOOKUP(C245,code_Note1!$D$3:$G$8,3,FALSE),""))))</f>
        <v>No</v>
      </c>
      <c r="P245" s="3" t="s">
        <v>831</v>
      </c>
    </row>
    <row r="246" spans="1:16" ht="19.5" customHeight="1">
      <c r="A246" s="2" t="s">
        <v>854</v>
      </c>
      <c r="B246" s="38">
        <v>45754</v>
      </c>
      <c r="C246" s="1">
        <v>2</v>
      </c>
      <c r="D246" s="1" t="s">
        <v>838</v>
      </c>
      <c r="E246" s="1" t="s">
        <v>46</v>
      </c>
      <c r="F246" s="8" t="s">
        <v>252</v>
      </c>
      <c r="G246" s="6">
        <v>320000</v>
      </c>
      <c r="H246" s="6">
        <v>87000</v>
      </c>
      <c r="I246" s="6"/>
      <c r="J246" s="7"/>
      <c r="K246" s="73"/>
      <c r="L246" s="73"/>
      <c r="M246" s="73"/>
      <c r="N246" s="73"/>
      <c r="O246" s="3" t="str">
        <f>IF(C246="","",IF(C246=5,IFERROR(INDEX(code_Note1!$F$13:$F$16,MATCH(E246,code_Note1!$E$13:$E$16,0)),INDEX(code_Note1!$F$16,1)),IF(B246&lt;code_Note1!$D$21,"No",IFERROR(VLOOKUP(C246,code_Note1!$D$3:$G$8,3,FALSE),""))))</f>
        <v>No</v>
      </c>
      <c r="P246" s="3" t="s">
        <v>831</v>
      </c>
    </row>
    <row r="247" spans="1:16" ht="19.5" customHeight="1">
      <c r="A247" s="2" t="s">
        <v>854</v>
      </c>
      <c r="B247" s="38">
        <v>45754</v>
      </c>
      <c r="C247" s="1">
        <v>3</v>
      </c>
      <c r="D247" s="1" t="s">
        <v>823</v>
      </c>
      <c r="E247" s="1" t="s">
        <v>12</v>
      </c>
      <c r="F247" s="8" t="s">
        <v>253</v>
      </c>
      <c r="G247" s="6">
        <v>255000</v>
      </c>
      <c r="H247" s="6"/>
      <c r="I247" s="6"/>
      <c r="J247" s="7"/>
      <c r="K247" s="73"/>
      <c r="L247" s="73"/>
      <c r="M247" s="73"/>
      <c r="N247" s="73"/>
      <c r="O247" s="3" t="str">
        <f>IF(C247="","",IF(C247=5,IFERROR(INDEX(code_Note1!$F$13:$F$16,MATCH(E247,code_Note1!$E$13:$E$16,0)),INDEX(code_Note1!$F$16,1)),IF(B247&lt;code_Note1!$D$21,"No",IFERROR(VLOOKUP(C247,code_Note1!$D$3:$G$8,3,FALSE),""))))</f>
        <v>No</v>
      </c>
      <c r="P247" s="3" t="s">
        <v>832</v>
      </c>
    </row>
    <row r="248" spans="1:16" ht="19.5" customHeight="1">
      <c r="A248" s="2" t="s">
        <v>854</v>
      </c>
      <c r="B248" s="38">
        <v>45755</v>
      </c>
      <c r="C248" s="1">
        <v>3</v>
      </c>
      <c r="D248" s="1" t="s">
        <v>823</v>
      </c>
      <c r="E248" s="1" t="s">
        <v>12</v>
      </c>
      <c r="F248" s="8" t="s">
        <v>254</v>
      </c>
      <c r="G248" s="6">
        <v>109000</v>
      </c>
      <c r="H248" s="6"/>
      <c r="I248" s="6"/>
      <c r="J248" s="7"/>
      <c r="K248" s="73"/>
      <c r="L248" s="73"/>
      <c r="M248" s="73"/>
      <c r="N248" s="73"/>
      <c r="O248" s="3" t="str">
        <f>IF(C248="","",IF(C248=5,IFERROR(INDEX(code_Note1!$F$13:$F$16,MATCH(E248,code_Note1!$E$13:$E$16,0)),INDEX(code_Note1!$F$16,1)),IF(B248&lt;code_Note1!$D$21,"No",IFERROR(VLOOKUP(C248,code_Note1!$D$3:$G$8,3,FALSE),""))))</f>
        <v>No</v>
      </c>
      <c r="P248" s="3" t="s">
        <v>832</v>
      </c>
    </row>
    <row r="249" spans="1:16" ht="19.5" customHeight="1">
      <c r="A249" s="2" t="s">
        <v>854</v>
      </c>
      <c r="B249" s="38">
        <v>45755</v>
      </c>
      <c r="C249" s="1">
        <v>3</v>
      </c>
      <c r="D249" s="1" t="s">
        <v>823</v>
      </c>
      <c r="E249" s="1" t="s">
        <v>12</v>
      </c>
      <c r="F249" s="8" t="s">
        <v>255</v>
      </c>
      <c r="G249" s="6">
        <v>225000</v>
      </c>
      <c r="H249" s="6"/>
      <c r="I249" s="6"/>
      <c r="J249" s="7"/>
      <c r="K249" s="73"/>
      <c r="L249" s="73"/>
      <c r="M249" s="73"/>
      <c r="N249" s="73"/>
      <c r="O249" s="3" t="str">
        <f>IF(C249="","",IF(C249=5,IFERROR(INDEX(code_Note1!$F$13:$F$16,MATCH(E249,code_Note1!$E$13:$E$16,0)),INDEX(code_Note1!$F$16,1)),IF(B249&lt;code_Note1!$D$21,"No",IFERROR(VLOOKUP(C249,code_Note1!$D$3:$G$8,3,FALSE),""))))</f>
        <v>No</v>
      </c>
      <c r="P249" s="3" t="s">
        <v>832</v>
      </c>
    </row>
    <row r="250" spans="1:16" ht="19.5" customHeight="1">
      <c r="A250" s="2" t="s">
        <v>854</v>
      </c>
      <c r="B250" s="38">
        <v>45755</v>
      </c>
      <c r="C250" s="1">
        <v>3</v>
      </c>
      <c r="D250" s="1" t="s">
        <v>823</v>
      </c>
      <c r="E250" s="1" t="s">
        <v>12</v>
      </c>
      <c r="F250" s="8" t="s">
        <v>256</v>
      </c>
      <c r="G250" s="6">
        <v>265000</v>
      </c>
      <c r="H250" s="6"/>
      <c r="I250" s="6"/>
      <c r="J250" s="7"/>
      <c r="K250" s="73"/>
      <c r="L250" s="73"/>
      <c r="M250" s="73"/>
      <c r="N250" s="73"/>
      <c r="O250" s="3" t="str">
        <f>IF(C250="","",IF(C250=5,IFERROR(INDEX(code_Note1!$F$13:$F$16,MATCH(E250,code_Note1!$E$13:$E$16,0)),INDEX(code_Note1!$F$16,1)),IF(B250&lt;code_Note1!$D$21,"No",IFERROR(VLOOKUP(C250,code_Note1!$D$3:$G$8,3,FALSE),""))))</f>
        <v>No</v>
      </c>
      <c r="P250" s="3" t="s">
        <v>832</v>
      </c>
    </row>
    <row r="251" spans="1:16" ht="19.5" customHeight="1">
      <c r="A251" s="2" t="s">
        <v>854</v>
      </c>
      <c r="B251" s="38">
        <v>45755</v>
      </c>
      <c r="C251" s="1">
        <v>3</v>
      </c>
      <c r="D251" s="1" t="s">
        <v>823</v>
      </c>
      <c r="E251" s="1" t="s">
        <v>12</v>
      </c>
      <c r="F251" s="8" t="s">
        <v>257</v>
      </c>
      <c r="G251" s="6">
        <v>1030000</v>
      </c>
      <c r="H251" s="6"/>
      <c r="I251" s="6"/>
      <c r="J251" s="7"/>
      <c r="K251" s="73"/>
      <c r="L251" s="73"/>
      <c r="M251" s="73"/>
      <c r="N251" s="73"/>
      <c r="O251" s="3" t="str">
        <f>IF(C251="","",IF(C251=5,IFERROR(INDEX(code_Note1!$F$13:$F$16,MATCH(E251,code_Note1!$E$13:$E$16,0)),INDEX(code_Note1!$F$16,1)),IF(B251&lt;code_Note1!$D$21,"No",IFERROR(VLOOKUP(C251,code_Note1!$D$3:$G$8,3,FALSE),""))))</f>
        <v>No</v>
      </c>
      <c r="P251" s="3" t="s">
        <v>832</v>
      </c>
    </row>
    <row r="252" spans="1:16" ht="19.5" customHeight="1">
      <c r="A252" s="2" t="s">
        <v>854</v>
      </c>
      <c r="B252" s="38">
        <v>45755</v>
      </c>
      <c r="C252" s="1">
        <v>3</v>
      </c>
      <c r="D252" s="1" t="s">
        <v>823</v>
      </c>
      <c r="E252" s="1" t="s">
        <v>12</v>
      </c>
      <c r="F252" s="8" t="s">
        <v>258</v>
      </c>
      <c r="G252" s="6">
        <v>32000</v>
      </c>
      <c r="H252" s="6"/>
      <c r="I252" s="6"/>
      <c r="J252" s="7"/>
      <c r="K252" s="73"/>
      <c r="L252" s="73"/>
      <c r="M252" s="73"/>
      <c r="N252" s="73"/>
      <c r="O252" s="3" t="str">
        <f>IF(C252="","",IF(C252=5,IFERROR(INDEX(code_Note1!$F$13:$F$16,MATCH(E252,code_Note1!$E$13:$E$16,0)),INDEX(code_Note1!$F$16,1)),IF(B252&lt;code_Note1!$D$21,"No",IFERROR(VLOOKUP(C252,code_Note1!$D$3:$G$8,3,FALSE),""))))</f>
        <v>No</v>
      </c>
      <c r="P252" s="3" t="s">
        <v>832</v>
      </c>
    </row>
    <row r="253" spans="1:16" ht="19.5" customHeight="1">
      <c r="A253" s="2" t="s">
        <v>854</v>
      </c>
      <c r="B253" s="38">
        <v>45755</v>
      </c>
      <c r="C253" s="1">
        <v>3</v>
      </c>
      <c r="D253" s="1" t="s">
        <v>823</v>
      </c>
      <c r="E253" s="1" t="s">
        <v>12</v>
      </c>
      <c r="F253" s="8" t="s">
        <v>259</v>
      </c>
      <c r="G253" s="6">
        <v>300000</v>
      </c>
      <c r="H253" s="6"/>
      <c r="I253" s="6"/>
      <c r="J253" s="7"/>
      <c r="K253" s="73"/>
      <c r="L253" s="73"/>
      <c r="M253" s="73"/>
      <c r="N253" s="73"/>
      <c r="O253" s="3" t="str">
        <f>IF(C253="","",IF(C253=5,IFERROR(INDEX(code_Note1!$F$13:$F$16,MATCH(E253,code_Note1!$E$13:$E$16,0)),INDEX(code_Note1!$F$16,1)),IF(B253&lt;code_Note1!$D$21,"No",IFERROR(VLOOKUP(C253,code_Note1!$D$3:$G$8,3,FALSE),""))))</f>
        <v>No</v>
      </c>
      <c r="P253" s="3" t="s">
        <v>832</v>
      </c>
    </row>
    <row r="254" spans="1:16" ht="19.5" customHeight="1">
      <c r="A254" s="2" t="s">
        <v>854</v>
      </c>
      <c r="B254" s="38">
        <v>45755</v>
      </c>
      <c r="C254" s="1">
        <v>3</v>
      </c>
      <c r="D254" s="1" t="s">
        <v>823</v>
      </c>
      <c r="E254" s="1" t="s">
        <v>12</v>
      </c>
      <c r="F254" s="8" t="s">
        <v>260</v>
      </c>
      <c r="G254" s="6">
        <v>68000</v>
      </c>
      <c r="H254" s="6"/>
      <c r="I254" s="6"/>
      <c r="J254" s="7"/>
      <c r="K254" s="73"/>
      <c r="L254" s="73"/>
      <c r="M254" s="73"/>
      <c r="N254" s="73"/>
      <c r="O254" s="3" t="str">
        <f>IF(C254="","",IF(C254=5,IFERROR(INDEX(code_Note1!$F$13:$F$16,MATCH(E254,code_Note1!$E$13:$E$16,0)),INDEX(code_Note1!$F$16,1)),IF(B254&lt;code_Note1!$D$21,"No",IFERROR(VLOOKUP(C254,code_Note1!$D$3:$G$8,3,FALSE),""))))</f>
        <v>No</v>
      </c>
      <c r="P254" s="3" t="s">
        <v>832</v>
      </c>
    </row>
    <row r="255" spans="1:16" ht="19.5" customHeight="1">
      <c r="A255" s="2" t="s">
        <v>854</v>
      </c>
      <c r="B255" s="38">
        <v>45756</v>
      </c>
      <c r="C255" s="1">
        <v>2</v>
      </c>
      <c r="D255" s="1" t="s">
        <v>838</v>
      </c>
      <c r="E255" s="1" t="s">
        <v>46</v>
      </c>
      <c r="F255" s="8" t="s">
        <v>261</v>
      </c>
      <c r="G255" s="6">
        <v>15740000</v>
      </c>
      <c r="H255" s="6">
        <v>3000</v>
      </c>
      <c r="I255" s="6"/>
      <c r="J255" s="7"/>
      <c r="K255" s="73"/>
      <c r="L255" s="73"/>
      <c r="M255" s="73"/>
      <c r="N255" s="73"/>
      <c r="O255" s="3" t="str">
        <f>IF(C255="","",IF(C255=5,IFERROR(INDEX(code_Note1!$F$13:$F$16,MATCH(E255,code_Note1!$E$13:$E$16,0)),INDEX(code_Note1!$F$16,1)),IF(B255&lt;code_Note1!$D$21,"No",IFERROR(VLOOKUP(C255,code_Note1!$D$3:$G$8,3,FALSE),""))))</f>
        <v>No</v>
      </c>
      <c r="P255" s="3" t="s">
        <v>831</v>
      </c>
    </row>
    <row r="256" spans="1:16" ht="19.5" customHeight="1">
      <c r="A256" s="2" t="s">
        <v>854</v>
      </c>
      <c r="B256" s="38">
        <v>45757</v>
      </c>
      <c r="C256" s="1">
        <v>2</v>
      </c>
      <c r="D256" s="1" t="s">
        <v>838</v>
      </c>
      <c r="E256" s="1" t="s">
        <v>46</v>
      </c>
      <c r="F256" s="8" t="s">
        <v>262</v>
      </c>
      <c r="G256" s="6">
        <v>300000</v>
      </c>
      <c r="H256" s="6"/>
      <c r="I256" s="6"/>
      <c r="J256" s="7"/>
      <c r="K256" s="73"/>
      <c r="L256" s="73"/>
      <c r="M256" s="73"/>
      <c r="N256" s="73"/>
      <c r="O256" s="3" t="str">
        <f>IF(C256="","",IF(C256=5,IFERROR(INDEX(code_Note1!$F$13:$F$16,MATCH(E256,code_Note1!$E$13:$E$16,0)),INDEX(code_Note1!$F$16,1)),IF(B256&lt;code_Note1!$D$21,"No",IFERROR(VLOOKUP(C256,code_Note1!$D$3:$G$8,3,FALSE),""))))</f>
        <v>No</v>
      </c>
      <c r="P256" s="3" t="s">
        <v>831</v>
      </c>
    </row>
    <row r="257" spans="1:16" ht="19.5" customHeight="1">
      <c r="A257" s="2" t="s">
        <v>854</v>
      </c>
      <c r="B257" s="38">
        <v>45768</v>
      </c>
      <c r="C257" s="1">
        <v>2</v>
      </c>
      <c r="D257" s="1" t="s">
        <v>838</v>
      </c>
      <c r="E257" s="1" t="s">
        <v>21</v>
      </c>
      <c r="F257" s="8" t="s">
        <v>248</v>
      </c>
      <c r="G257" s="6">
        <v>263000</v>
      </c>
      <c r="H257" s="6"/>
      <c r="I257" s="6"/>
      <c r="J257" s="7"/>
      <c r="K257" s="73"/>
      <c r="L257" s="73"/>
      <c r="M257" s="73"/>
      <c r="N257" s="73"/>
      <c r="O257" s="3" t="str">
        <f>IF(C257="","",IF(C257=5,IFERROR(INDEX(code_Note1!$F$13:$F$16,MATCH(E257,code_Note1!$E$13:$E$16,0)),INDEX(code_Note1!$F$16,1)),IF(B257&lt;code_Note1!$D$21,"No",IFERROR(VLOOKUP(C257,code_Note1!$D$3:$G$8,3,FALSE),""))))</f>
        <v>No</v>
      </c>
      <c r="P257" s="3" t="s">
        <v>831</v>
      </c>
    </row>
    <row r="258" spans="1:16" ht="19.5" customHeight="1">
      <c r="A258" s="2" t="s">
        <v>854</v>
      </c>
      <c r="B258" s="38">
        <v>45768</v>
      </c>
      <c r="C258" s="1">
        <v>3</v>
      </c>
      <c r="D258" s="1" t="s">
        <v>823</v>
      </c>
      <c r="E258" s="1" t="s">
        <v>12</v>
      </c>
      <c r="F258" s="8" t="s">
        <v>210</v>
      </c>
      <c r="G258" s="6">
        <v>620000</v>
      </c>
      <c r="H258" s="6"/>
      <c r="I258" s="6"/>
      <c r="J258" s="7"/>
      <c r="K258" s="73"/>
      <c r="L258" s="73"/>
      <c r="M258" s="73"/>
      <c r="N258" s="73"/>
      <c r="O258" s="3" t="str">
        <f>IF(C258="","",IF(C258=5,IFERROR(INDEX(code_Note1!$F$13:$F$16,MATCH(E258,code_Note1!$E$13:$E$16,0)),INDEX(code_Note1!$F$16,1)),IF(B258&lt;code_Note1!$D$21,"No",IFERROR(VLOOKUP(C258,code_Note1!$D$3:$G$8,3,FALSE),""))))</f>
        <v>No</v>
      </c>
      <c r="P258" s="3" t="s">
        <v>832</v>
      </c>
    </row>
    <row r="259" spans="1:16" ht="19.5" customHeight="1">
      <c r="A259" s="2" t="s">
        <v>854</v>
      </c>
      <c r="B259" s="38">
        <v>45770</v>
      </c>
      <c r="C259" s="1">
        <v>3</v>
      </c>
      <c r="D259" s="1" t="s">
        <v>823</v>
      </c>
      <c r="E259" s="1" t="s">
        <v>12</v>
      </c>
      <c r="F259" s="8" t="s">
        <v>263</v>
      </c>
      <c r="G259" s="6">
        <v>1430000</v>
      </c>
      <c r="H259" s="6"/>
      <c r="I259" s="6"/>
      <c r="J259" s="7"/>
      <c r="K259" s="73"/>
      <c r="L259" s="73"/>
      <c r="M259" s="73"/>
      <c r="N259" s="73"/>
      <c r="O259" s="3" t="str">
        <f>IF(C259="","",IF(C259=5,IFERROR(INDEX(code_Note1!$F$13:$F$16,MATCH(E259,code_Note1!$E$13:$E$16,0)),INDEX(code_Note1!$F$16,1)),IF(B259&lt;code_Note1!$D$21,"No",IFERROR(VLOOKUP(C259,code_Note1!$D$3:$G$8,3,FALSE),""))))</f>
        <v>No</v>
      </c>
      <c r="P259" s="3" t="s">
        <v>832</v>
      </c>
    </row>
    <row r="260" spans="1:16" ht="19.5" customHeight="1">
      <c r="A260" s="2" t="s">
        <v>854</v>
      </c>
      <c r="B260" s="38">
        <v>45770</v>
      </c>
      <c r="C260" s="1">
        <v>3</v>
      </c>
      <c r="D260" s="1" t="s">
        <v>823</v>
      </c>
      <c r="E260" s="1" t="s">
        <v>12</v>
      </c>
      <c r="F260" s="8" t="s">
        <v>264</v>
      </c>
      <c r="G260" s="6">
        <v>540000</v>
      </c>
      <c r="H260" s="6"/>
      <c r="I260" s="6"/>
      <c r="J260" s="7"/>
      <c r="K260" s="73"/>
      <c r="L260" s="73"/>
      <c r="M260" s="73"/>
      <c r="N260" s="73"/>
      <c r="O260" s="3" t="str">
        <f>IF(C260="","",IF(C260=5,IFERROR(INDEX(code_Note1!$F$13:$F$16,MATCH(E260,code_Note1!$E$13:$E$16,0)),INDEX(code_Note1!$F$16,1)),IF(B260&lt;code_Note1!$D$21,"No",IFERROR(VLOOKUP(C260,code_Note1!$D$3:$G$8,3,FALSE),""))))</f>
        <v>No</v>
      </c>
      <c r="P260" s="3" t="s">
        <v>832</v>
      </c>
    </row>
    <row r="261" spans="1:16" ht="19.5" customHeight="1">
      <c r="A261" s="2" t="s">
        <v>854</v>
      </c>
      <c r="B261" s="38">
        <v>45770</v>
      </c>
      <c r="C261" s="1">
        <v>3</v>
      </c>
      <c r="D261" s="1" t="s">
        <v>823</v>
      </c>
      <c r="E261" s="1" t="s">
        <v>12</v>
      </c>
      <c r="F261" s="8" t="s">
        <v>265</v>
      </c>
      <c r="G261" s="6">
        <v>250000</v>
      </c>
      <c r="H261" s="6"/>
      <c r="I261" s="6"/>
      <c r="J261" s="7"/>
      <c r="K261" s="73"/>
      <c r="L261" s="73"/>
      <c r="M261" s="73"/>
      <c r="N261" s="73"/>
      <c r="O261" s="3" t="str">
        <f>IF(C261="","",IF(C261=5,IFERROR(INDEX(code_Note1!$F$13:$F$16,MATCH(E261,code_Note1!$E$13:$E$16,0)),INDEX(code_Note1!$F$16,1)),IF(B261&lt;code_Note1!$D$21,"No",IFERROR(VLOOKUP(C261,code_Note1!$D$3:$G$8,3,FALSE),""))))</f>
        <v>No</v>
      </c>
      <c r="P261" s="3" t="s">
        <v>832</v>
      </c>
    </row>
    <row r="262" spans="1:16" ht="19.5" customHeight="1">
      <c r="A262" s="2" t="s">
        <v>854</v>
      </c>
      <c r="B262" s="38">
        <v>45771</v>
      </c>
      <c r="C262" s="1">
        <v>3</v>
      </c>
      <c r="D262" s="1" t="s">
        <v>823</v>
      </c>
      <c r="E262" s="1" t="s">
        <v>38</v>
      </c>
      <c r="F262" s="8" t="s">
        <v>266</v>
      </c>
      <c r="G262" s="6">
        <v>700000</v>
      </c>
      <c r="H262" s="6"/>
      <c r="I262" s="6"/>
      <c r="J262" s="7"/>
      <c r="K262" s="73"/>
      <c r="L262" s="73"/>
      <c r="M262" s="73"/>
      <c r="N262" s="73"/>
      <c r="O262" s="3" t="str">
        <f>IF(C262="","",IF(C262=5,IFERROR(INDEX(code_Note1!$F$13:$F$16,MATCH(E262,code_Note1!$E$13:$E$16,0)),INDEX(code_Note1!$F$16,1)),IF(B262&lt;code_Note1!$D$21,"No",IFERROR(VLOOKUP(C262,code_Note1!$D$3:$G$8,3,FALSE),""))))</f>
        <v>No</v>
      </c>
      <c r="P262" s="3" t="s">
        <v>832</v>
      </c>
    </row>
    <row r="263" spans="1:16" ht="19.5" customHeight="1">
      <c r="A263" s="2" t="s">
        <v>854</v>
      </c>
      <c r="B263" s="38">
        <v>45771</v>
      </c>
      <c r="C263" s="1">
        <v>2</v>
      </c>
      <c r="D263" s="1" t="s">
        <v>838</v>
      </c>
      <c r="E263" s="1" t="s">
        <v>42</v>
      </c>
      <c r="F263" s="8" t="s">
        <v>267</v>
      </c>
      <c r="G263" s="6">
        <v>3800000</v>
      </c>
      <c r="H263" s="6"/>
      <c r="I263" s="6"/>
      <c r="J263" s="7"/>
      <c r="K263" s="73"/>
      <c r="L263" s="73"/>
      <c r="M263" s="73"/>
      <c r="N263" s="73"/>
      <c r="O263" s="3" t="str">
        <f>IF(C263="","",IF(C263=5,IFERROR(INDEX(code_Note1!$F$13:$F$16,MATCH(E263,code_Note1!$E$13:$E$16,0)),INDEX(code_Note1!$F$16,1)),IF(B263&lt;code_Note1!$D$21,"No",IFERROR(VLOOKUP(C263,code_Note1!$D$3:$G$8,3,FALSE),""))))</f>
        <v>No</v>
      </c>
      <c r="P263" s="3" t="s">
        <v>831</v>
      </c>
    </row>
    <row r="264" spans="1:16" ht="19.5" customHeight="1">
      <c r="A264" s="2" t="s">
        <v>854</v>
      </c>
      <c r="B264" s="38">
        <v>45771</v>
      </c>
      <c r="C264" s="1">
        <v>2</v>
      </c>
      <c r="D264" s="1" t="s">
        <v>838</v>
      </c>
      <c r="E264" s="1" t="s">
        <v>34</v>
      </c>
      <c r="F264" s="8" t="s">
        <v>268</v>
      </c>
      <c r="G264" s="6">
        <v>0</v>
      </c>
      <c r="H264" s="6">
        <v>0</v>
      </c>
      <c r="I264" s="6">
        <v>8828.4699999999993</v>
      </c>
      <c r="J264" s="7"/>
      <c r="K264" s="73"/>
      <c r="L264" s="73"/>
      <c r="M264" s="73"/>
      <c r="N264" s="73"/>
      <c r="O264" s="3" t="str">
        <f>IF(C264="","",IF(C264=5,IFERROR(INDEX(code_Note1!$F$13:$F$16,MATCH(E264,code_Note1!$E$13:$E$16,0)),INDEX(code_Note1!$F$16,1)),IF(B264&lt;code_Note1!$D$21,"No",IFERROR(VLOOKUP(C264,code_Note1!$D$3:$G$8,3,FALSE),""))))</f>
        <v>No</v>
      </c>
      <c r="P264" s="3" t="s">
        <v>831</v>
      </c>
    </row>
    <row r="265" spans="1:16" ht="19.5" customHeight="1">
      <c r="A265" s="2" t="s">
        <v>854</v>
      </c>
      <c r="B265" s="38">
        <v>45771</v>
      </c>
      <c r="C265" s="1">
        <v>2</v>
      </c>
      <c r="D265" s="1" t="s">
        <v>838</v>
      </c>
      <c r="E265" s="1" t="s">
        <v>111</v>
      </c>
      <c r="F265" s="8" t="s">
        <v>269</v>
      </c>
      <c r="G265" s="6">
        <v>400000</v>
      </c>
      <c r="H265" s="6"/>
      <c r="I265" s="6"/>
      <c r="J265" s="7"/>
      <c r="K265" s="73"/>
      <c r="L265" s="73"/>
      <c r="M265" s="73"/>
      <c r="N265" s="73"/>
      <c r="O265" s="3" t="str">
        <f>IF(C265="","",IF(C265=5,IFERROR(INDEX(code_Note1!$F$13:$F$16,MATCH(E265,code_Note1!$E$13:$E$16,0)),INDEX(code_Note1!$F$16,1)),IF(B265&lt;code_Note1!$D$21,"No",IFERROR(VLOOKUP(C265,code_Note1!$D$3:$G$8,3,FALSE),""))))</f>
        <v>No</v>
      </c>
      <c r="P265" s="3" t="s">
        <v>831</v>
      </c>
    </row>
    <row r="266" spans="1:16" ht="19.5" customHeight="1">
      <c r="A266" s="2" t="s">
        <v>854</v>
      </c>
      <c r="B266" s="38">
        <v>45772</v>
      </c>
      <c r="C266" s="1">
        <v>2</v>
      </c>
      <c r="D266" s="1" t="s">
        <v>838</v>
      </c>
      <c r="E266" s="1" t="s">
        <v>111</v>
      </c>
      <c r="F266" s="8" t="s">
        <v>270</v>
      </c>
      <c r="G266" s="6">
        <v>500000</v>
      </c>
      <c r="H266" s="6"/>
      <c r="I266" s="6"/>
      <c r="J266" s="7"/>
      <c r="K266" s="73"/>
      <c r="L266" s="73"/>
      <c r="M266" s="73"/>
      <c r="N266" s="73"/>
      <c r="O266" s="3" t="str">
        <f>IF(C266="","",IF(C266=5,IFERROR(INDEX(code_Note1!$F$13:$F$16,MATCH(E266,code_Note1!$E$13:$E$16,0)),INDEX(code_Note1!$F$16,1)),IF(B266&lt;code_Note1!$D$21,"No",IFERROR(VLOOKUP(C266,code_Note1!$D$3:$G$8,3,FALSE),""))))</f>
        <v>No</v>
      </c>
      <c r="P266" s="3" t="s">
        <v>831</v>
      </c>
    </row>
    <row r="267" spans="1:16" ht="19.5" customHeight="1">
      <c r="A267" s="2" t="s">
        <v>854</v>
      </c>
      <c r="B267" s="38">
        <v>45772</v>
      </c>
      <c r="C267" s="1">
        <v>2</v>
      </c>
      <c r="D267" s="1" t="s">
        <v>838</v>
      </c>
      <c r="E267" s="1" t="s">
        <v>25</v>
      </c>
      <c r="F267" s="8" t="s">
        <v>271</v>
      </c>
      <c r="G267" s="6">
        <v>1700000</v>
      </c>
      <c r="H267" s="6"/>
      <c r="I267" s="6"/>
      <c r="J267" s="7"/>
      <c r="K267" s="73"/>
      <c r="L267" s="73"/>
      <c r="M267" s="73"/>
      <c r="N267" s="73"/>
      <c r="O267" s="3" t="str">
        <f>IF(C267="","",IF(C267=5,IFERROR(INDEX(code_Note1!$F$13:$F$16,MATCH(E267,code_Note1!$E$13:$E$16,0)),INDEX(code_Note1!$F$16,1)),IF(B267&lt;code_Note1!$D$21,"No",IFERROR(VLOOKUP(C267,code_Note1!$D$3:$G$8,3,FALSE),""))))</f>
        <v>No</v>
      </c>
      <c r="P267" s="3" t="s">
        <v>831</v>
      </c>
    </row>
    <row r="268" spans="1:16" ht="19.5" customHeight="1">
      <c r="A268" s="2" t="s">
        <v>854</v>
      </c>
      <c r="B268" s="38">
        <v>45772</v>
      </c>
      <c r="C268" s="1">
        <v>2</v>
      </c>
      <c r="D268" s="1" t="s">
        <v>838</v>
      </c>
      <c r="E268" s="1" t="s">
        <v>166</v>
      </c>
      <c r="F268" s="8" t="s">
        <v>272</v>
      </c>
      <c r="G268" s="6">
        <v>2000000</v>
      </c>
      <c r="H268" s="6"/>
      <c r="I268" s="6"/>
      <c r="J268" s="7"/>
      <c r="K268" s="73"/>
      <c r="L268" s="73"/>
      <c r="M268" s="73"/>
      <c r="N268" s="73"/>
      <c r="O268" s="3" t="str">
        <f>IF(C268="","",IF(C268=5,IFERROR(INDEX(code_Note1!$F$13:$F$16,MATCH(E268,code_Note1!$E$13:$E$16,0)),INDEX(code_Note1!$F$16,1)),IF(B268&lt;code_Note1!$D$21,"No",IFERROR(VLOOKUP(C268,code_Note1!$D$3:$G$8,3,FALSE),""))))</f>
        <v>No</v>
      </c>
      <c r="P268" s="3" t="s">
        <v>831</v>
      </c>
    </row>
    <row r="269" spans="1:16" ht="19.5" customHeight="1">
      <c r="A269" s="2" t="s">
        <v>854</v>
      </c>
      <c r="B269" s="38">
        <v>45772</v>
      </c>
      <c r="C269" s="1">
        <v>3</v>
      </c>
      <c r="D269" s="1" t="s">
        <v>823</v>
      </c>
      <c r="E269" s="1" t="s">
        <v>12</v>
      </c>
      <c r="F269" s="8" t="s">
        <v>273</v>
      </c>
      <c r="G269" s="6">
        <v>100000</v>
      </c>
      <c r="H269" s="6"/>
      <c r="I269" s="6"/>
      <c r="J269" s="7"/>
      <c r="K269" s="73"/>
      <c r="L269" s="73"/>
      <c r="M269" s="73"/>
      <c r="N269" s="73"/>
      <c r="O269" s="3" t="str">
        <f>IF(C269="","",IF(C269=5,IFERROR(INDEX(code_Note1!$F$13:$F$16,MATCH(E269,code_Note1!$E$13:$E$16,0)),INDEX(code_Note1!$F$16,1)),IF(B269&lt;code_Note1!$D$21,"No",IFERROR(VLOOKUP(C269,code_Note1!$D$3:$G$8,3,FALSE),""))))</f>
        <v>No</v>
      </c>
      <c r="P269" s="3" t="s">
        <v>832</v>
      </c>
    </row>
    <row r="270" spans="1:16" ht="19.5" customHeight="1">
      <c r="A270" s="2" t="s">
        <v>854</v>
      </c>
      <c r="B270" s="38">
        <v>45772</v>
      </c>
      <c r="C270" s="1">
        <v>1</v>
      </c>
      <c r="D270" s="1" t="s">
        <v>824</v>
      </c>
      <c r="E270" s="1" t="s">
        <v>54</v>
      </c>
      <c r="F270" s="8" t="s">
        <v>274</v>
      </c>
      <c r="G270" s="6">
        <v>160000</v>
      </c>
      <c r="H270" s="6"/>
      <c r="I270" s="6"/>
      <c r="J270" s="7"/>
      <c r="K270" s="73"/>
      <c r="L270" s="73"/>
      <c r="M270" s="73"/>
      <c r="N270" s="73"/>
      <c r="O270" s="3" t="str">
        <f>IF(C270="","",IF(C270=5,IFERROR(INDEX(code_Note1!$F$13:$F$16,MATCH(E270,code_Note1!$E$13:$E$16,0)),INDEX(code_Note1!$F$16,1)),IF(B270&lt;code_Note1!$D$21,"No",IFERROR(VLOOKUP(C270,code_Note1!$D$3:$G$8,3,FALSE),""))))</f>
        <v>No</v>
      </c>
      <c r="P270" s="3" t="s">
        <v>832</v>
      </c>
    </row>
    <row r="271" spans="1:16" ht="19.5" customHeight="1">
      <c r="A271" s="2" t="s">
        <v>854</v>
      </c>
      <c r="B271" s="38">
        <v>45773</v>
      </c>
      <c r="C271" s="1">
        <v>2</v>
      </c>
      <c r="D271" s="1" t="s">
        <v>838</v>
      </c>
      <c r="E271" s="1" t="s">
        <v>21</v>
      </c>
      <c r="F271" s="8" t="s">
        <v>275</v>
      </c>
      <c r="G271" s="6">
        <v>150000</v>
      </c>
      <c r="H271" s="6"/>
      <c r="I271" s="6"/>
      <c r="J271" s="7"/>
      <c r="K271" s="73"/>
      <c r="L271" s="73"/>
      <c r="M271" s="73"/>
      <c r="N271" s="73"/>
      <c r="O271" s="3" t="str">
        <f>IF(C271="","",IF(C271=5,IFERROR(INDEX(code_Note1!$F$13:$F$16,MATCH(E271,code_Note1!$E$13:$E$16,0)),INDEX(code_Note1!$F$16,1)),IF(B271&lt;code_Note1!$D$21,"No",IFERROR(VLOOKUP(C271,code_Note1!$D$3:$G$8,3,FALSE),""))))</f>
        <v>No</v>
      </c>
      <c r="P271" s="3" t="s">
        <v>831</v>
      </c>
    </row>
    <row r="272" spans="1:16" ht="19.5" customHeight="1">
      <c r="A272" s="2" t="s">
        <v>854</v>
      </c>
      <c r="B272" s="38">
        <v>45773</v>
      </c>
      <c r="C272" s="1">
        <v>2</v>
      </c>
      <c r="D272" s="1" t="s">
        <v>838</v>
      </c>
      <c r="E272" s="1" t="s">
        <v>277</v>
      </c>
      <c r="F272" s="8" t="s">
        <v>276</v>
      </c>
      <c r="G272" s="6">
        <v>300000</v>
      </c>
      <c r="H272" s="6"/>
      <c r="I272" s="6"/>
      <c r="J272" s="7"/>
      <c r="K272" s="73"/>
      <c r="L272" s="73"/>
      <c r="M272" s="73"/>
      <c r="N272" s="73"/>
      <c r="O272" s="3" t="str">
        <f>IF(C272="","",IF(C272=5,IFERROR(INDEX(code_Note1!$F$13:$F$16,MATCH(E272,code_Note1!$E$13:$E$16,0)),INDEX(code_Note1!$F$16,1)),IF(B272&lt;code_Note1!$D$21,"No",IFERROR(VLOOKUP(C272,code_Note1!$D$3:$G$8,3,FALSE),""))))</f>
        <v>No</v>
      </c>
      <c r="P272" s="3" t="s">
        <v>831</v>
      </c>
    </row>
    <row r="273" spans="1:16" ht="19.5" customHeight="1">
      <c r="A273" s="2" t="s">
        <v>854</v>
      </c>
      <c r="B273" s="38">
        <v>45773</v>
      </c>
      <c r="C273" s="1">
        <v>2</v>
      </c>
      <c r="D273" s="1" t="s">
        <v>838</v>
      </c>
      <c r="E273" s="1" t="s">
        <v>21</v>
      </c>
      <c r="F273" s="8" t="s">
        <v>278</v>
      </c>
      <c r="G273" s="6">
        <v>1430000</v>
      </c>
      <c r="H273" s="6"/>
      <c r="I273" s="6"/>
      <c r="J273" s="7"/>
      <c r="K273" s="73"/>
      <c r="L273" s="73"/>
      <c r="M273" s="73"/>
      <c r="N273" s="73"/>
      <c r="O273" s="3" t="str">
        <f>IF(C273="","",IF(C273=5,IFERROR(INDEX(code_Note1!$F$13:$F$16,MATCH(E273,code_Note1!$E$13:$E$16,0)),INDEX(code_Note1!$F$16,1)),IF(B273&lt;code_Note1!$D$21,"No",IFERROR(VLOOKUP(C273,code_Note1!$D$3:$G$8,3,FALSE),""))))</f>
        <v>No</v>
      </c>
      <c r="P273" s="3" t="s">
        <v>831</v>
      </c>
    </row>
    <row r="274" spans="1:16" ht="19.5" customHeight="1">
      <c r="A274" s="2" t="s">
        <v>854</v>
      </c>
      <c r="B274" s="38">
        <v>45773</v>
      </c>
      <c r="C274" s="1">
        <v>2</v>
      </c>
      <c r="D274" s="1" t="s">
        <v>838</v>
      </c>
      <c r="E274" s="1" t="s">
        <v>82</v>
      </c>
      <c r="F274" s="8" t="s">
        <v>279</v>
      </c>
      <c r="G274" s="6">
        <v>416000</v>
      </c>
      <c r="H274" s="6"/>
      <c r="I274" s="6"/>
      <c r="J274" s="7"/>
      <c r="K274" s="73"/>
      <c r="L274" s="73"/>
      <c r="M274" s="73"/>
      <c r="N274" s="73"/>
      <c r="O274" s="3" t="str">
        <f>IF(C274="","",IF(C274=5,IFERROR(INDEX(code_Note1!$F$13:$F$16,MATCH(E274,code_Note1!$E$13:$E$16,0)),INDEX(code_Note1!$F$16,1)),IF(B274&lt;code_Note1!$D$21,"No",IFERROR(VLOOKUP(C274,code_Note1!$D$3:$G$8,3,FALSE),""))))</f>
        <v>No</v>
      </c>
      <c r="P274" s="3" t="s">
        <v>831</v>
      </c>
    </row>
    <row r="275" spans="1:16" ht="19.5" customHeight="1">
      <c r="A275" s="2" t="s">
        <v>854</v>
      </c>
      <c r="B275" s="38">
        <v>45773</v>
      </c>
      <c r="C275" s="1">
        <v>2</v>
      </c>
      <c r="D275" s="1" t="s">
        <v>838</v>
      </c>
      <c r="E275" s="1" t="s">
        <v>281</v>
      </c>
      <c r="F275" s="8" t="s">
        <v>280</v>
      </c>
      <c r="G275" s="6">
        <v>600000</v>
      </c>
      <c r="H275" s="6"/>
      <c r="I275" s="6"/>
      <c r="J275" s="7"/>
      <c r="K275" s="73"/>
      <c r="L275" s="73"/>
      <c r="M275" s="73"/>
      <c r="N275" s="73"/>
      <c r="O275" s="3" t="str">
        <f>IF(C275="","",IF(C275=5,IFERROR(INDEX(code_Note1!$F$13:$F$16,MATCH(E275,code_Note1!$E$13:$E$16,0)),INDEX(code_Note1!$F$16,1)),IF(B275&lt;code_Note1!$D$21,"No",IFERROR(VLOOKUP(C275,code_Note1!$D$3:$G$8,3,FALSE),""))))</f>
        <v>No</v>
      </c>
      <c r="P275" s="3" t="s">
        <v>831</v>
      </c>
    </row>
    <row r="276" spans="1:16" ht="19.5" customHeight="1">
      <c r="A276" s="2" t="s">
        <v>854</v>
      </c>
      <c r="B276" s="38">
        <v>45773</v>
      </c>
      <c r="C276" s="1">
        <v>3</v>
      </c>
      <c r="D276" s="1" t="s">
        <v>823</v>
      </c>
      <c r="E276" s="1" t="s">
        <v>12</v>
      </c>
      <c r="F276" s="8" t="s">
        <v>196</v>
      </c>
      <c r="G276" s="6">
        <v>105000</v>
      </c>
      <c r="H276" s="6"/>
      <c r="I276" s="6"/>
      <c r="J276" s="7"/>
      <c r="K276" s="73"/>
      <c r="L276" s="73"/>
      <c r="M276" s="73"/>
      <c r="N276" s="73"/>
      <c r="O276" s="3" t="str">
        <f>IF(C276="","",IF(C276=5,IFERROR(INDEX(code_Note1!$F$13:$F$16,MATCH(E276,code_Note1!$E$13:$E$16,0)),INDEX(code_Note1!$F$16,1)),IF(B276&lt;code_Note1!$D$21,"No",IFERROR(VLOOKUP(C276,code_Note1!$D$3:$G$8,3,FALSE),""))))</f>
        <v>No</v>
      </c>
      <c r="P276" s="3" t="s">
        <v>832</v>
      </c>
    </row>
    <row r="277" spans="1:16" ht="19.5" customHeight="1">
      <c r="A277" s="2" t="s">
        <v>854</v>
      </c>
      <c r="B277" s="38">
        <v>45773</v>
      </c>
      <c r="C277" s="1" t="s">
        <v>844</v>
      </c>
      <c r="D277" s="1" t="s">
        <v>826</v>
      </c>
      <c r="E277" s="28" t="s">
        <v>12</v>
      </c>
      <c r="F277" s="8" t="s">
        <v>282</v>
      </c>
      <c r="G277" s="6">
        <v>0</v>
      </c>
      <c r="H277" s="6"/>
      <c r="I277" s="6"/>
      <c r="J277" s="7"/>
      <c r="K277" s="73"/>
      <c r="L277" s="73"/>
      <c r="M277" s="73"/>
      <c r="N277" s="73"/>
      <c r="O277" s="3" t="str">
        <f>IF(C277="","",IF(C277=5,IFERROR(INDEX(code_Note1!$F$13:$F$16,MATCH(E277,code_Note1!$E$13:$E$16,0)),INDEX(code_Note1!$F$16,1)),IF(B277&lt;code_Note1!$D$21,"No",IFERROR(VLOOKUP(C277,code_Note1!$D$3:$G$8,3,FALSE),""))))</f>
        <v>No</v>
      </c>
      <c r="P277" s="3" t="s">
        <v>833</v>
      </c>
    </row>
    <row r="278" spans="1:16" ht="19.5" customHeight="1">
      <c r="A278" s="2" t="s">
        <v>854</v>
      </c>
      <c r="B278" s="38">
        <v>45775</v>
      </c>
      <c r="C278" s="1">
        <v>3</v>
      </c>
      <c r="D278" s="1" t="s">
        <v>823</v>
      </c>
      <c r="E278" s="1" t="s">
        <v>44</v>
      </c>
      <c r="F278" s="8" t="s">
        <v>283</v>
      </c>
      <c r="G278" s="6">
        <v>297000</v>
      </c>
      <c r="H278" s="6"/>
      <c r="I278" s="6"/>
      <c r="J278" s="7"/>
      <c r="K278" s="73"/>
      <c r="L278" s="73"/>
      <c r="M278" s="73"/>
      <c r="N278" s="73"/>
      <c r="O278" s="3" t="str">
        <f>IF(C278="","",IF(C278=5,IFERROR(INDEX(code_Note1!$F$13:$F$16,MATCH(E278,code_Note1!$E$13:$E$16,0)),INDEX(code_Note1!$F$16,1)),IF(B278&lt;code_Note1!$D$21,"No",IFERROR(VLOOKUP(C278,code_Note1!$D$3:$G$8,3,FALSE),""))))</f>
        <v>No</v>
      </c>
      <c r="P278" s="3" t="s">
        <v>832</v>
      </c>
    </row>
    <row r="279" spans="1:16" ht="19.5" customHeight="1">
      <c r="A279" s="2" t="s">
        <v>854</v>
      </c>
      <c r="B279" s="38">
        <v>45776</v>
      </c>
      <c r="C279" s="1">
        <v>1</v>
      </c>
      <c r="D279" s="1" t="s">
        <v>824</v>
      </c>
      <c r="E279" s="1" t="s">
        <v>285</v>
      </c>
      <c r="F279" s="8" t="s">
        <v>284</v>
      </c>
      <c r="G279" s="6">
        <v>1500000</v>
      </c>
      <c r="H279" s="6"/>
      <c r="I279" s="6"/>
      <c r="J279" s="7"/>
      <c r="K279" s="73"/>
      <c r="L279" s="73"/>
      <c r="M279" s="73"/>
      <c r="N279" s="73"/>
      <c r="O279" s="3" t="str">
        <f>IF(C279="","",IF(C279=5,IFERROR(INDEX(code_Note1!$F$13:$F$16,MATCH(E279,code_Note1!$E$13:$E$16,0)),INDEX(code_Note1!$F$16,1)),IF(B279&lt;code_Note1!$D$21,"No",IFERROR(VLOOKUP(C279,code_Note1!$D$3:$G$8,3,FALSE),""))))</f>
        <v>No</v>
      </c>
      <c r="P279" s="3" t="s">
        <v>832</v>
      </c>
    </row>
    <row r="280" spans="1:16" ht="19.5" customHeight="1">
      <c r="A280" s="2" t="s">
        <v>854</v>
      </c>
      <c r="B280" s="38">
        <v>45776</v>
      </c>
      <c r="C280" s="1">
        <v>2</v>
      </c>
      <c r="D280" s="1" t="s">
        <v>838</v>
      </c>
      <c r="E280" s="1" t="s">
        <v>46</v>
      </c>
      <c r="F280" s="8" t="s">
        <v>286</v>
      </c>
      <c r="G280" s="6">
        <v>900000</v>
      </c>
      <c r="H280" s="6"/>
      <c r="I280" s="6"/>
      <c r="J280" s="7"/>
      <c r="K280" s="73"/>
      <c r="L280" s="73"/>
      <c r="M280" s="73"/>
      <c r="N280" s="73"/>
      <c r="O280" s="3" t="str">
        <f>IF(C280="","",IF(C280=5,IFERROR(INDEX(code_Note1!$F$13:$F$16,MATCH(E280,code_Note1!$E$13:$E$16,0)),INDEX(code_Note1!$F$16,1)),IF(B280&lt;code_Note1!$D$21,"No",IFERROR(VLOOKUP(C280,code_Note1!$D$3:$G$8,3,FALSE),""))))</f>
        <v>No</v>
      </c>
      <c r="P280" s="3" t="s">
        <v>831</v>
      </c>
    </row>
    <row r="281" spans="1:16" ht="19.5" customHeight="1">
      <c r="A281" s="2" t="s">
        <v>854</v>
      </c>
      <c r="B281" s="38">
        <v>45778</v>
      </c>
      <c r="C281" s="1">
        <v>2</v>
      </c>
      <c r="D281" s="1" t="s">
        <v>838</v>
      </c>
      <c r="E281" s="1" t="s">
        <v>111</v>
      </c>
      <c r="F281" s="8" t="s">
        <v>287</v>
      </c>
      <c r="G281" s="6">
        <v>0</v>
      </c>
      <c r="H281" s="6">
        <v>2250</v>
      </c>
      <c r="I281" s="6"/>
      <c r="J281" s="7"/>
      <c r="K281" s="73"/>
      <c r="L281" s="73"/>
      <c r="M281" s="73"/>
      <c r="N281" s="73"/>
      <c r="O281" s="3" t="str">
        <f>IF(C281="","",IF(C281=5,IFERROR(INDEX(code_Note1!$F$13:$F$16,MATCH(E281,code_Note1!$E$13:$E$16,0)),INDEX(code_Note1!$F$16,1)),IF(B281&lt;code_Note1!$D$21,"No",IFERROR(VLOOKUP(C281,code_Note1!$D$3:$G$8,3,FALSE),""))))</f>
        <v>No</v>
      </c>
      <c r="P281" s="3" t="s">
        <v>831</v>
      </c>
    </row>
    <row r="282" spans="1:16" ht="19.5" customHeight="1">
      <c r="A282" s="2" t="s">
        <v>854</v>
      </c>
      <c r="B282" s="38">
        <v>45778</v>
      </c>
      <c r="C282" s="1">
        <v>3</v>
      </c>
      <c r="D282" s="1" t="s">
        <v>823</v>
      </c>
      <c r="E282" s="1" t="s">
        <v>12</v>
      </c>
      <c r="F282" s="8" t="s">
        <v>12</v>
      </c>
      <c r="G282" s="6">
        <v>645000</v>
      </c>
      <c r="H282" s="6"/>
      <c r="I282" s="6"/>
      <c r="J282" s="7"/>
      <c r="K282" s="73"/>
      <c r="L282" s="73"/>
      <c r="M282" s="73"/>
      <c r="N282" s="73"/>
      <c r="O282" s="3" t="str">
        <f>IF(C282="","",IF(C282=5,IFERROR(INDEX(code_Note1!$F$13:$F$16,MATCH(E282,code_Note1!$E$13:$E$16,0)),INDEX(code_Note1!$F$16,1)),IF(B282&lt;code_Note1!$D$21,"No",IFERROR(VLOOKUP(C282,code_Note1!$D$3:$G$8,3,FALSE),""))))</f>
        <v>No</v>
      </c>
      <c r="P282" s="3" t="s">
        <v>832</v>
      </c>
    </row>
    <row r="283" spans="1:16" ht="19.5" customHeight="1">
      <c r="A283" s="2" t="s">
        <v>854</v>
      </c>
      <c r="B283" s="38">
        <v>45778</v>
      </c>
      <c r="C283" s="1">
        <v>3</v>
      </c>
      <c r="D283" s="1" t="s">
        <v>823</v>
      </c>
      <c r="E283" s="1" t="s">
        <v>12</v>
      </c>
      <c r="F283" s="8" t="s">
        <v>288</v>
      </c>
      <c r="G283" s="6">
        <v>264000</v>
      </c>
      <c r="H283" s="6"/>
      <c r="I283" s="6"/>
      <c r="J283" s="7"/>
      <c r="K283" s="73"/>
      <c r="L283" s="73"/>
      <c r="M283" s="73"/>
      <c r="N283" s="73"/>
      <c r="O283" s="3" t="str">
        <f>IF(C283="","",IF(C283=5,IFERROR(INDEX(code_Note1!$F$13:$F$16,MATCH(E283,code_Note1!$E$13:$E$16,0)),INDEX(code_Note1!$F$16,1)),IF(B283&lt;code_Note1!$D$21,"No",IFERROR(VLOOKUP(C283,code_Note1!$D$3:$G$8,3,FALSE),""))))</f>
        <v>No</v>
      </c>
      <c r="P283" s="3" t="s">
        <v>832</v>
      </c>
    </row>
    <row r="284" spans="1:16" ht="19.5" customHeight="1">
      <c r="A284" s="2" t="s">
        <v>854</v>
      </c>
      <c r="B284" s="38">
        <v>45778</v>
      </c>
      <c r="C284" s="1">
        <v>3</v>
      </c>
      <c r="D284" s="1" t="s">
        <v>823</v>
      </c>
      <c r="E284" s="1" t="s">
        <v>12</v>
      </c>
      <c r="F284" s="8" t="s">
        <v>257</v>
      </c>
      <c r="G284" s="6">
        <v>710000</v>
      </c>
      <c r="H284" s="6"/>
      <c r="I284" s="6"/>
      <c r="J284" s="7"/>
      <c r="K284" s="73"/>
      <c r="L284" s="73"/>
      <c r="M284" s="73"/>
      <c r="N284" s="73"/>
      <c r="O284" s="3" t="str">
        <f>IF(C284="","",IF(C284=5,IFERROR(INDEX(code_Note1!$F$13:$F$16,MATCH(E284,code_Note1!$E$13:$E$16,0)),INDEX(code_Note1!$F$16,1)),IF(B284&lt;code_Note1!$D$21,"No",IFERROR(VLOOKUP(C284,code_Note1!$D$3:$G$8,3,FALSE),""))))</f>
        <v>No</v>
      </c>
      <c r="P284" s="3" t="s">
        <v>832</v>
      </c>
    </row>
    <row r="285" spans="1:16" ht="19.5" customHeight="1">
      <c r="A285" s="2" t="s">
        <v>854</v>
      </c>
      <c r="B285" s="38">
        <v>45778</v>
      </c>
      <c r="C285" s="1">
        <v>2</v>
      </c>
      <c r="D285" s="1" t="s">
        <v>838</v>
      </c>
      <c r="E285" s="1" t="s">
        <v>46</v>
      </c>
      <c r="F285" s="8" t="s">
        <v>289</v>
      </c>
      <c r="G285" s="6">
        <v>4000000</v>
      </c>
      <c r="H285" s="6"/>
      <c r="I285" s="6"/>
      <c r="J285" s="7"/>
      <c r="K285" s="73"/>
      <c r="L285" s="73"/>
      <c r="M285" s="73"/>
      <c r="N285" s="73"/>
      <c r="O285" s="3" t="str">
        <f>IF(C285="","",IF(C285=5,IFERROR(INDEX(code_Note1!$F$13:$F$16,MATCH(E285,code_Note1!$E$13:$E$16,0)),INDEX(code_Note1!$F$16,1)),IF(B285&lt;code_Note1!$D$21,"No",IFERROR(VLOOKUP(C285,code_Note1!$D$3:$G$8,3,FALSE),""))))</f>
        <v>No</v>
      </c>
      <c r="P285" s="3" t="s">
        <v>831</v>
      </c>
    </row>
    <row r="286" spans="1:16" ht="19.5" customHeight="1">
      <c r="A286" s="2" t="s">
        <v>854</v>
      </c>
      <c r="B286" s="38">
        <v>45778</v>
      </c>
      <c r="C286" s="1">
        <v>1</v>
      </c>
      <c r="D286" s="1" t="s">
        <v>824</v>
      </c>
      <c r="E286" s="1" t="s">
        <v>291</v>
      </c>
      <c r="F286" s="8" t="s">
        <v>290</v>
      </c>
      <c r="G286" s="6">
        <v>714000</v>
      </c>
      <c r="H286" s="6"/>
      <c r="I286" s="6"/>
      <c r="J286" s="7"/>
      <c r="K286" s="73"/>
      <c r="L286" s="73"/>
      <c r="M286" s="73"/>
      <c r="N286" s="73"/>
      <c r="O286" s="3" t="str">
        <f>IF(C286="","",IF(C286=5,IFERROR(INDEX(code_Note1!$F$13:$F$16,MATCH(E286,code_Note1!$E$13:$E$16,0)),INDEX(code_Note1!$F$16,1)),IF(B286&lt;code_Note1!$D$21,"No",IFERROR(VLOOKUP(C286,code_Note1!$D$3:$G$8,3,FALSE),""))))</f>
        <v>No</v>
      </c>
      <c r="P286" s="3" t="s">
        <v>832</v>
      </c>
    </row>
    <row r="287" spans="1:16" ht="19.5" customHeight="1">
      <c r="A287" s="2" t="s">
        <v>854</v>
      </c>
      <c r="B287" s="38">
        <v>45778</v>
      </c>
      <c r="C287" s="1">
        <v>1</v>
      </c>
      <c r="D287" s="1" t="s">
        <v>824</v>
      </c>
      <c r="E287" s="1" t="s">
        <v>293</v>
      </c>
      <c r="F287" s="8" t="s">
        <v>292</v>
      </c>
      <c r="G287" s="6">
        <v>3380000</v>
      </c>
      <c r="H287" s="6"/>
      <c r="I287" s="6"/>
      <c r="J287" s="7"/>
      <c r="K287" s="73"/>
      <c r="L287" s="73"/>
      <c r="M287" s="73"/>
      <c r="N287" s="73"/>
      <c r="O287" s="3" t="str">
        <f>IF(C287="","",IF(C287=5,IFERROR(INDEX(code_Note1!$F$13:$F$16,MATCH(E287,code_Note1!$E$13:$E$16,0)),INDEX(code_Note1!$F$16,1)),IF(B287&lt;code_Note1!$D$21,"No",IFERROR(VLOOKUP(C287,code_Note1!$D$3:$G$8,3,FALSE),""))))</f>
        <v>No</v>
      </c>
      <c r="P287" s="3" t="s">
        <v>832</v>
      </c>
    </row>
    <row r="288" spans="1:16" ht="19.5" customHeight="1">
      <c r="A288" s="2" t="s">
        <v>854</v>
      </c>
      <c r="B288" s="38">
        <v>45780</v>
      </c>
      <c r="C288" s="1">
        <v>2</v>
      </c>
      <c r="D288" s="1" t="s">
        <v>838</v>
      </c>
      <c r="E288" s="1" t="s">
        <v>82</v>
      </c>
      <c r="F288" s="8" t="s">
        <v>294</v>
      </c>
      <c r="G288" s="6">
        <v>0</v>
      </c>
      <c r="H288" s="6">
        <v>302936</v>
      </c>
      <c r="I288" s="6"/>
      <c r="J288" s="7"/>
      <c r="K288" s="73"/>
      <c r="L288" s="73"/>
      <c r="M288" s="73"/>
      <c r="N288" s="73"/>
      <c r="O288" s="3" t="str">
        <f>IF(C288="","",IF(C288=5,IFERROR(INDEX(code_Note1!$F$13:$F$16,MATCH(E288,code_Note1!$E$13:$E$16,0)),INDEX(code_Note1!$F$16,1)),IF(B288&lt;code_Note1!$D$21,"No",IFERROR(VLOOKUP(C288,code_Note1!$D$3:$G$8,3,FALSE),""))))</f>
        <v>No</v>
      </c>
      <c r="P288" s="3" t="s">
        <v>831</v>
      </c>
    </row>
    <row r="289" spans="1:16" ht="19.5" customHeight="1">
      <c r="A289" s="2" t="s">
        <v>854</v>
      </c>
      <c r="B289" s="38">
        <v>45780</v>
      </c>
      <c r="C289" s="1">
        <v>2</v>
      </c>
      <c r="D289" s="1" t="s">
        <v>838</v>
      </c>
      <c r="E289" s="1" t="s">
        <v>51</v>
      </c>
      <c r="F289" s="8" t="s">
        <v>295</v>
      </c>
      <c r="G289" s="6">
        <v>65000</v>
      </c>
      <c r="H289" s="6"/>
      <c r="I289" s="6"/>
      <c r="J289" s="7"/>
      <c r="K289" s="73"/>
      <c r="L289" s="73"/>
      <c r="M289" s="73"/>
      <c r="N289" s="73"/>
      <c r="O289" s="3" t="str">
        <f>IF(C289="","",IF(C289=5,IFERROR(INDEX(code_Note1!$F$13:$F$16,MATCH(E289,code_Note1!$E$13:$E$16,0)),INDEX(code_Note1!$F$16,1)),IF(B289&lt;code_Note1!$D$21,"No",IFERROR(VLOOKUP(C289,code_Note1!$D$3:$G$8,3,FALSE),""))))</f>
        <v>No</v>
      </c>
      <c r="P289" s="3" t="s">
        <v>831</v>
      </c>
    </row>
    <row r="290" spans="1:16" ht="19.5" customHeight="1">
      <c r="A290" s="2" t="s">
        <v>854</v>
      </c>
      <c r="B290" s="38">
        <v>45780</v>
      </c>
      <c r="C290" s="1">
        <v>3</v>
      </c>
      <c r="D290" s="1" t="s">
        <v>823</v>
      </c>
      <c r="E290" s="1" t="s">
        <v>12</v>
      </c>
      <c r="F290" s="8" t="s">
        <v>296</v>
      </c>
      <c r="G290" s="6">
        <v>286000</v>
      </c>
      <c r="H290" s="6"/>
      <c r="I290" s="6"/>
      <c r="J290" s="7"/>
      <c r="K290" s="73"/>
      <c r="L290" s="73"/>
      <c r="M290" s="73"/>
      <c r="N290" s="73"/>
      <c r="O290" s="3" t="str">
        <f>IF(C290="","",IF(C290=5,IFERROR(INDEX(code_Note1!$F$13:$F$16,MATCH(E290,code_Note1!$E$13:$E$16,0)),INDEX(code_Note1!$F$16,1)),IF(B290&lt;code_Note1!$D$21,"No",IFERROR(VLOOKUP(C290,code_Note1!$D$3:$G$8,3,FALSE),""))))</f>
        <v>No</v>
      </c>
      <c r="P290" s="3" t="s">
        <v>832</v>
      </c>
    </row>
    <row r="291" spans="1:16" ht="19.5" customHeight="1">
      <c r="A291" s="2" t="s">
        <v>854</v>
      </c>
      <c r="B291" s="38">
        <v>45780</v>
      </c>
      <c r="C291" s="1">
        <v>3</v>
      </c>
      <c r="D291" s="1" t="s">
        <v>823</v>
      </c>
      <c r="E291" s="1" t="s">
        <v>147</v>
      </c>
      <c r="F291" s="8" t="s">
        <v>209</v>
      </c>
      <c r="G291" s="6">
        <v>700000</v>
      </c>
      <c r="H291" s="6"/>
      <c r="I291" s="6"/>
      <c r="J291" s="7"/>
      <c r="K291" s="73"/>
      <c r="L291" s="73"/>
      <c r="M291" s="73"/>
      <c r="N291" s="73"/>
      <c r="O291" s="3" t="str">
        <f>IF(C291="","",IF(C291=5,IFERROR(INDEX(code_Note1!$F$13:$F$16,MATCH(E291,code_Note1!$E$13:$E$16,0)),INDEX(code_Note1!$F$16,1)),IF(B291&lt;code_Note1!$D$21,"No",IFERROR(VLOOKUP(C291,code_Note1!$D$3:$G$8,3,FALSE),""))))</f>
        <v>No</v>
      </c>
      <c r="P291" s="3" t="s">
        <v>832</v>
      </c>
    </row>
    <row r="292" spans="1:16" ht="19.5" customHeight="1">
      <c r="A292" s="2" t="s">
        <v>854</v>
      </c>
      <c r="B292" s="38">
        <v>45782</v>
      </c>
      <c r="C292" s="1">
        <v>2</v>
      </c>
      <c r="D292" s="1" t="s">
        <v>838</v>
      </c>
      <c r="E292" s="1" t="s">
        <v>82</v>
      </c>
      <c r="F292" s="8" t="s">
        <v>297</v>
      </c>
      <c r="G292" s="6">
        <v>0</v>
      </c>
      <c r="H292" s="6">
        <v>302900</v>
      </c>
      <c r="I292" s="6"/>
      <c r="J292" s="7"/>
      <c r="K292" s="73"/>
      <c r="L292" s="73"/>
      <c r="M292" s="73"/>
      <c r="N292" s="73"/>
      <c r="O292" s="3" t="str">
        <f>IF(C292="","",IF(C292=5,IFERROR(INDEX(code_Note1!$F$13:$F$16,MATCH(E292,code_Note1!$E$13:$E$16,0)),INDEX(code_Note1!$F$16,1)),IF(B292&lt;code_Note1!$D$21,"No",IFERROR(VLOOKUP(C292,code_Note1!$D$3:$G$8,3,FALSE),""))))</f>
        <v>No</v>
      </c>
      <c r="P292" s="3" t="s">
        <v>831</v>
      </c>
    </row>
    <row r="293" spans="1:16" ht="19.5" customHeight="1">
      <c r="A293" s="2" t="s">
        <v>854</v>
      </c>
      <c r="B293" s="38">
        <v>45782</v>
      </c>
      <c r="C293" s="1">
        <v>2</v>
      </c>
      <c r="D293" s="1" t="s">
        <v>838</v>
      </c>
      <c r="E293" s="1" t="s">
        <v>42</v>
      </c>
      <c r="F293" s="8" t="s">
        <v>42</v>
      </c>
      <c r="G293" s="6">
        <v>3300000</v>
      </c>
      <c r="H293" s="6"/>
      <c r="I293" s="6"/>
      <c r="J293" s="7"/>
      <c r="K293" s="73"/>
      <c r="L293" s="73"/>
      <c r="M293" s="73"/>
      <c r="N293" s="73"/>
      <c r="O293" s="3" t="str">
        <f>IF(C293="","",IF(C293=5,IFERROR(INDEX(code_Note1!$F$13:$F$16,MATCH(E293,code_Note1!$E$13:$E$16,0)),INDEX(code_Note1!$F$16,1)),IF(B293&lt;code_Note1!$D$21,"No",IFERROR(VLOOKUP(C293,code_Note1!$D$3:$G$8,3,FALSE),""))))</f>
        <v>No</v>
      </c>
      <c r="P293" s="3" t="s">
        <v>831</v>
      </c>
    </row>
    <row r="294" spans="1:16" ht="19.5" customHeight="1">
      <c r="A294" s="2" t="s">
        <v>854</v>
      </c>
      <c r="B294" s="38">
        <v>45782</v>
      </c>
      <c r="C294" s="1">
        <v>2</v>
      </c>
      <c r="D294" s="1" t="s">
        <v>838</v>
      </c>
      <c r="E294" s="1" t="s">
        <v>166</v>
      </c>
      <c r="F294" s="8" t="s">
        <v>298</v>
      </c>
      <c r="G294" s="6">
        <v>2000000</v>
      </c>
      <c r="H294" s="6"/>
      <c r="I294" s="6"/>
      <c r="J294" s="7"/>
      <c r="K294" s="73"/>
      <c r="L294" s="73"/>
      <c r="M294" s="73"/>
      <c r="N294" s="73"/>
      <c r="O294" s="3" t="str">
        <f>IF(C294="","",IF(C294=5,IFERROR(INDEX(code_Note1!$F$13:$F$16,MATCH(E294,code_Note1!$E$13:$E$16,0)),INDEX(code_Note1!$F$16,1)),IF(B294&lt;code_Note1!$D$21,"No",IFERROR(VLOOKUP(C294,code_Note1!$D$3:$G$8,3,FALSE),""))))</f>
        <v>No</v>
      </c>
      <c r="P294" s="3" t="s">
        <v>831</v>
      </c>
    </row>
    <row r="295" spans="1:16" ht="19.5" customHeight="1">
      <c r="A295" s="2" t="s">
        <v>854</v>
      </c>
      <c r="B295" s="38">
        <v>45783</v>
      </c>
      <c r="C295" s="1">
        <v>2</v>
      </c>
      <c r="D295" s="1" t="s">
        <v>838</v>
      </c>
      <c r="E295" s="1" t="s">
        <v>46</v>
      </c>
      <c r="F295" s="8" t="s">
        <v>299</v>
      </c>
      <c r="G295" s="6">
        <v>40650000</v>
      </c>
      <c r="H295" s="6"/>
      <c r="I295" s="6"/>
      <c r="J295" s="7"/>
      <c r="K295" s="73"/>
      <c r="L295" s="73"/>
      <c r="M295" s="73"/>
      <c r="N295" s="73"/>
      <c r="O295" s="3" t="str">
        <f>IF(C295="","",IF(C295=5,IFERROR(INDEX(code_Note1!$F$13:$F$16,MATCH(E295,code_Note1!$E$13:$E$16,0)),INDEX(code_Note1!$F$16,1)),IF(B295&lt;code_Note1!$D$21,"No",IFERROR(VLOOKUP(C295,code_Note1!$D$3:$G$8,3,FALSE),""))))</f>
        <v>No</v>
      </c>
      <c r="P295" s="3" t="s">
        <v>831</v>
      </c>
    </row>
    <row r="296" spans="1:16" ht="19.5" customHeight="1">
      <c r="A296" s="2" t="s">
        <v>854</v>
      </c>
      <c r="B296" s="38">
        <v>45784</v>
      </c>
      <c r="C296" s="1">
        <v>2</v>
      </c>
      <c r="D296" s="1" t="s">
        <v>838</v>
      </c>
      <c r="E296" s="1" t="s">
        <v>34</v>
      </c>
      <c r="F296" s="8" t="s">
        <v>34</v>
      </c>
      <c r="G296" s="6">
        <v>8236000</v>
      </c>
      <c r="H296" s="6"/>
      <c r="I296" s="6"/>
      <c r="J296" s="7"/>
      <c r="K296" s="73"/>
      <c r="L296" s="73"/>
      <c r="M296" s="73"/>
      <c r="N296" s="73"/>
      <c r="O296" s="3" t="str">
        <f>IF(C296="","",IF(C296=5,IFERROR(INDEX(code_Note1!$F$13:$F$16,MATCH(E296,code_Note1!$E$13:$E$16,0)),INDEX(code_Note1!$F$16,1)),IF(B296&lt;code_Note1!$D$21,"No",IFERROR(VLOOKUP(C296,code_Note1!$D$3:$G$8,3,FALSE),""))))</f>
        <v>No</v>
      </c>
      <c r="P296" s="3" t="s">
        <v>831</v>
      </c>
    </row>
    <row r="297" spans="1:16" ht="19.5" customHeight="1">
      <c r="A297" s="2" t="s">
        <v>854</v>
      </c>
      <c r="B297" s="38">
        <v>45784</v>
      </c>
      <c r="C297" s="1">
        <v>2</v>
      </c>
      <c r="D297" s="1" t="s">
        <v>838</v>
      </c>
      <c r="E297" s="1" t="s">
        <v>46</v>
      </c>
      <c r="F297" s="8" t="s">
        <v>300</v>
      </c>
      <c r="G297" s="6">
        <v>9395000</v>
      </c>
      <c r="H297" s="6"/>
      <c r="I297" s="6"/>
      <c r="J297" s="7"/>
      <c r="K297" s="73"/>
      <c r="L297" s="73"/>
      <c r="M297" s="73"/>
      <c r="N297" s="73"/>
      <c r="O297" s="3" t="str">
        <f>IF(C297="","",IF(C297=5,IFERROR(INDEX(code_Note1!$F$13:$F$16,MATCH(E297,code_Note1!$E$13:$E$16,0)),INDEX(code_Note1!$F$16,1)),IF(B297&lt;code_Note1!$D$21,"No",IFERROR(VLOOKUP(C297,code_Note1!$D$3:$G$8,3,FALSE),""))))</f>
        <v>No</v>
      </c>
      <c r="P297" s="3" t="s">
        <v>831</v>
      </c>
    </row>
    <row r="298" spans="1:16" ht="19.5" customHeight="1">
      <c r="A298" s="2" t="s">
        <v>854</v>
      </c>
      <c r="B298" s="38">
        <v>45787</v>
      </c>
      <c r="C298" s="1">
        <v>3</v>
      </c>
      <c r="D298" s="1" t="s">
        <v>823</v>
      </c>
      <c r="E298" s="1" t="s">
        <v>12</v>
      </c>
      <c r="F298" s="8" t="s">
        <v>210</v>
      </c>
      <c r="G298" s="6">
        <v>682000</v>
      </c>
      <c r="H298" s="6"/>
      <c r="I298" s="6"/>
      <c r="J298" s="7"/>
      <c r="K298" s="73"/>
      <c r="L298" s="73"/>
      <c r="M298" s="73"/>
      <c r="N298" s="73"/>
      <c r="O298" s="3" t="str">
        <f>IF(C298="","",IF(C298=5,IFERROR(INDEX(code_Note1!$F$13:$F$16,MATCH(E298,code_Note1!$E$13:$E$16,0)),INDEX(code_Note1!$F$16,1)),IF(B298&lt;code_Note1!$D$21,"No",IFERROR(VLOOKUP(C298,code_Note1!$D$3:$G$8,3,FALSE),""))))</f>
        <v>No</v>
      </c>
      <c r="P298" s="3" t="s">
        <v>832</v>
      </c>
    </row>
    <row r="299" spans="1:16" ht="19.5" customHeight="1">
      <c r="A299" s="2" t="s">
        <v>854</v>
      </c>
      <c r="B299" s="38">
        <v>45788</v>
      </c>
      <c r="C299" s="1">
        <v>1</v>
      </c>
      <c r="D299" s="1" t="s">
        <v>824</v>
      </c>
      <c r="E299" s="27" t="s">
        <v>62</v>
      </c>
      <c r="F299" s="8" t="s">
        <v>63</v>
      </c>
      <c r="G299" s="6">
        <v>2940000</v>
      </c>
      <c r="H299" s="6"/>
      <c r="I299" s="6"/>
      <c r="J299" s="7"/>
      <c r="K299" s="73"/>
      <c r="L299" s="73"/>
      <c r="M299" s="73"/>
      <c r="N299" s="73"/>
      <c r="O299" s="3" t="str">
        <f>IF(C299="","",IF(C299=5,IFERROR(INDEX(code_Note1!$F$13:$F$16,MATCH(E299,code_Note1!$E$13:$E$16,0)),INDEX(code_Note1!$F$16,1)),IF(B299&lt;code_Note1!$D$21,"No",IFERROR(VLOOKUP(C299,code_Note1!$D$3:$G$8,3,FALSE),""))))</f>
        <v>No</v>
      </c>
      <c r="P299" s="3" t="s">
        <v>832</v>
      </c>
    </row>
    <row r="300" spans="1:16" ht="19.5" customHeight="1">
      <c r="A300" s="2" t="s">
        <v>854</v>
      </c>
      <c r="B300" s="38">
        <v>45789</v>
      </c>
      <c r="C300" s="1">
        <v>1</v>
      </c>
      <c r="D300" s="1" t="s">
        <v>824</v>
      </c>
      <c r="E300" s="27" t="s">
        <v>62</v>
      </c>
      <c r="F300" s="8" t="s">
        <v>63</v>
      </c>
      <c r="G300" s="6">
        <v>1900000</v>
      </c>
      <c r="H300" s="6"/>
      <c r="I300" s="6"/>
      <c r="J300" s="7"/>
      <c r="K300" s="73"/>
      <c r="L300" s="73"/>
      <c r="M300" s="73"/>
      <c r="N300" s="73"/>
      <c r="O300" s="3" t="str">
        <f>IF(C300="","",IF(C300=5,IFERROR(INDEX(code_Note1!$F$13:$F$16,MATCH(E300,code_Note1!$E$13:$E$16,0)),INDEX(code_Note1!$F$16,1)),IF(B300&lt;code_Note1!$D$21,"No",IFERROR(VLOOKUP(C300,code_Note1!$D$3:$G$8,3,FALSE),""))))</f>
        <v>No</v>
      </c>
      <c r="P300" s="3" t="s">
        <v>832</v>
      </c>
    </row>
    <row r="301" spans="1:16" ht="19.5" customHeight="1">
      <c r="A301" s="2" t="s">
        <v>854</v>
      </c>
      <c r="B301" s="38">
        <v>45789</v>
      </c>
      <c r="C301" s="1">
        <v>2</v>
      </c>
      <c r="D301" s="1" t="s">
        <v>838</v>
      </c>
      <c r="E301" s="1" t="s">
        <v>46</v>
      </c>
      <c r="F301" s="8" t="s">
        <v>301</v>
      </c>
      <c r="G301" s="6">
        <v>3000000</v>
      </c>
      <c r="H301" s="6"/>
      <c r="I301" s="6"/>
      <c r="J301" s="7"/>
      <c r="K301" s="73"/>
      <c r="L301" s="73"/>
      <c r="M301" s="73"/>
      <c r="N301" s="73"/>
      <c r="O301" s="3" t="str">
        <f>IF(C301="","",IF(C301=5,IFERROR(INDEX(code_Note1!$F$13:$F$16,MATCH(E301,code_Note1!$E$13:$E$16,0)),INDEX(code_Note1!$F$16,1)),IF(B301&lt;code_Note1!$D$21,"No",IFERROR(VLOOKUP(C301,code_Note1!$D$3:$G$8,3,FALSE),""))))</f>
        <v>No</v>
      </c>
      <c r="P301" s="3" t="s">
        <v>831</v>
      </c>
    </row>
    <row r="302" spans="1:16" ht="19.5" customHeight="1">
      <c r="A302" s="2" t="s">
        <v>854</v>
      </c>
      <c r="B302" s="38">
        <v>45790</v>
      </c>
      <c r="C302" s="1">
        <v>2</v>
      </c>
      <c r="D302" s="1" t="s">
        <v>838</v>
      </c>
      <c r="E302" s="1" t="s">
        <v>51</v>
      </c>
      <c r="F302" s="8" t="s">
        <v>302</v>
      </c>
      <c r="G302" s="6">
        <v>0</v>
      </c>
      <c r="H302" s="6">
        <v>123.79</v>
      </c>
      <c r="I302" s="6"/>
      <c r="J302" s="7"/>
      <c r="K302" s="73"/>
      <c r="L302" s="73"/>
      <c r="M302" s="73"/>
      <c r="N302" s="73"/>
      <c r="O302" s="3" t="str">
        <f>IF(C302="","",IF(C302=5,IFERROR(INDEX(code_Note1!$F$13:$F$16,MATCH(E302,code_Note1!$E$13:$E$16,0)),INDEX(code_Note1!$F$16,1)),IF(B302&lt;code_Note1!$D$21,"No",IFERROR(VLOOKUP(C302,code_Note1!$D$3:$G$8,3,FALSE),""))))</f>
        <v>No</v>
      </c>
      <c r="P302" s="3" t="s">
        <v>831</v>
      </c>
    </row>
    <row r="303" spans="1:16" ht="19.5" customHeight="1">
      <c r="A303" s="2" t="s">
        <v>854</v>
      </c>
      <c r="B303" s="38">
        <v>45790</v>
      </c>
      <c r="C303" s="1" t="s">
        <v>844</v>
      </c>
      <c r="D303" s="1" t="s">
        <v>826</v>
      </c>
      <c r="E303" s="28" t="s">
        <v>80</v>
      </c>
      <c r="F303" s="8" t="s">
        <v>303</v>
      </c>
      <c r="G303" s="6">
        <v>8000000</v>
      </c>
      <c r="H303" s="6"/>
      <c r="I303" s="6"/>
      <c r="J303" s="7"/>
      <c r="K303" s="73"/>
      <c r="L303" s="73"/>
      <c r="M303" s="73"/>
      <c r="N303" s="73"/>
      <c r="O303" s="3" t="str">
        <f>IF(C303="","",IF(C303=5,IFERROR(INDEX(code_Note1!$F$13:$F$16,MATCH(E303,code_Note1!$E$13:$E$16,0)),INDEX(code_Note1!$F$16,1)),IF(B303&lt;code_Note1!$D$21,"No",IFERROR(VLOOKUP(C303,code_Note1!$D$3:$G$8,3,FALSE),""))))</f>
        <v>No</v>
      </c>
      <c r="P303" s="3" t="s">
        <v>833</v>
      </c>
    </row>
    <row r="304" spans="1:16" ht="19.5" customHeight="1">
      <c r="A304" s="2" t="s">
        <v>854</v>
      </c>
      <c r="B304" s="38">
        <v>45791</v>
      </c>
      <c r="C304" s="1">
        <v>3</v>
      </c>
      <c r="D304" s="1" t="s">
        <v>823</v>
      </c>
      <c r="E304" s="1" t="s">
        <v>12</v>
      </c>
      <c r="F304" s="8" t="s">
        <v>2</v>
      </c>
      <c r="G304" s="6">
        <v>108000</v>
      </c>
      <c r="H304" s="6"/>
      <c r="I304" s="6"/>
      <c r="J304" s="7"/>
      <c r="K304" s="73"/>
      <c r="L304" s="73"/>
      <c r="M304" s="73"/>
      <c r="N304" s="73"/>
      <c r="O304" s="3" t="str">
        <f>IF(C304="","",IF(C304=5,IFERROR(INDEX(code_Note1!$F$13:$F$16,MATCH(E304,code_Note1!$E$13:$E$16,0)),INDEX(code_Note1!$F$16,1)),IF(B304&lt;code_Note1!$D$21,"No",IFERROR(VLOOKUP(C304,code_Note1!$D$3:$G$8,3,FALSE),""))))</f>
        <v>No</v>
      </c>
      <c r="P304" s="3" t="s">
        <v>832</v>
      </c>
    </row>
    <row r="305" spans="1:16" ht="19.5" customHeight="1">
      <c r="A305" s="2" t="s">
        <v>854</v>
      </c>
      <c r="B305" s="38">
        <v>45792</v>
      </c>
      <c r="C305" s="1">
        <v>2</v>
      </c>
      <c r="D305" s="1" t="s">
        <v>838</v>
      </c>
      <c r="E305" s="1" t="s">
        <v>21</v>
      </c>
      <c r="F305" s="8" t="s">
        <v>304</v>
      </c>
      <c r="G305" s="6">
        <v>0</v>
      </c>
      <c r="H305" s="6">
        <v>1975</v>
      </c>
      <c r="I305" s="6"/>
      <c r="J305" s="7"/>
      <c r="K305" s="73"/>
      <c r="L305" s="73"/>
      <c r="M305" s="73"/>
      <c r="N305" s="73"/>
      <c r="O305" s="3" t="str">
        <f>IF(C305="","",IF(C305=5,IFERROR(INDEX(code_Note1!$F$13:$F$16,MATCH(E305,code_Note1!$E$13:$E$16,0)),INDEX(code_Note1!$F$16,1)),IF(B305&lt;code_Note1!$D$21,"No",IFERROR(VLOOKUP(C305,code_Note1!$D$3:$G$8,3,FALSE),""))))</f>
        <v>No</v>
      </c>
      <c r="P305" s="3" t="s">
        <v>831</v>
      </c>
    </row>
    <row r="306" spans="1:16" ht="19.5" customHeight="1">
      <c r="A306" s="2" t="s">
        <v>854</v>
      </c>
      <c r="B306" s="38">
        <v>45794</v>
      </c>
      <c r="C306" s="1">
        <v>2</v>
      </c>
      <c r="D306" s="1" t="s">
        <v>838</v>
      </c>
      <c r="E306" s="1" t="s">
        <v>42</v>
      </c>
      <c r="F306" s="8" t="s">
        <v>305</v>
      </c>
      <c r="G306" s="6">
        <v>5770000</v>
      </c>
      <c r="H306" s="6">
        <v>6000</v>
      </c>
      <c r="I306" s="6"/>
      <c r="J306" s="7"/>
      <c r="K306" s="73"/>
      <c r="L306" s="73"/>
      <c r="M306" s="73"/>
      <c r="N306" s="73"/>
      <c r="O306" s="3" t="str">
        <f>IF(C306="","",IF(C306=5,IFERROR(INDEX(code_Note1!$F$13:$F$16,MATCH(E306,code_Note1!$E$13:$E$16,0)),INDEX(code_Note1!$F$16,1)),IF(B306&lt;code_Note1!$D$21,"No",IFERROR(VLOOKUP(C306,code_Note1!$D$3:$G$8,3,FALSE),""))))</f>
        <v>No</v>
      </c>
      <c r="P306" s="3" t="s">
        <v>831</v>
      </c>
    </row>
    <row r="307" spans="1:16" ht="19.5" customHeight="1">
      <c r="A307" s="2" t="s">
        <v>854</v>
      </c>
      <c r="B307" s="38">
        <v>45794</v>
      </c>
      <c r="C307" s="1">
        <v>2</v>
      </c>
      <c r="D307" s="1" t="s">
        <v>838</v>
      </c>
      <c r="E307" s="1" t="s">
        <v>46</v>
      </c>
      <c r="F307" s="8" t="s">
        <v>306</v>
      </c>
      <c r="G307" s="6">
        <v>0</v>
      </c>
      <c r="H307" s="6">
        <v>1000</v>
      </c>
      <c r="I307" s="6"/>
      <c r="J307" s="7"/>
      <c r="K307" s="73"/>
      <c r="L307" s="73"/>
      <c r="M307" s="73"/>
      <c r="N307" s="73"/>
      <c r="O307" s="3" t="str">
        <f>IF(C307="","",IF(C307=5,IFERROR(INDEX(code_Note1!$F$13:$F$16,MATCH(E307,code_Note1!$E$13:$E$16,0)),INDEX(code_Note1!$F$16,1)),IF(B307&lt;code_Note1!$D$21,"No",IFERROR(VLOOKUP(C307,code_Note1!$D$3:$G$8,3,FALSE),""))))</f>
        <v>No</v>
      </c>
      <c r="P307" s="3" t="s">
        <v>831</v>
      </c>
    </row>
    <row r="308" spans="1:16" ht="19.5" customHeight="1">
      <c r="A308" s="2" t="s">
        <v>854</v>
      </c>
      <c r="B308" s="38">
        <v>45794</v>
      </c>
      <c r="C308" s="1">
        <v>3</v>
      </c>
      <c r="D308" s="1" t="s">
        <v>823</v>
      </c>
      <c r="E308" s="1" t="s">
        <v>38</v>
      </c>
      <c r="F308" s="8" t="s">
        <v>307</v>
      </c>
      <c r="G308" s="6">
        <v>360000</v>
      </c>
      <c r="H308" s="6"/>
      <c r="I308" s="6"/>
      <c r="J308" s="7"/>
      <c r="K308" s="73"/>
      <c r="L308" s="73"/>
      <c r="M308" s="73"/>
      <c r="N308" s="73"/>
      <c r="O308" s="3" t="str">
        <f>IF(C308="","",IF(C308=5,IFERROR(INDEX(code_Note1!$F$13:$F$16,MATCH(E308,code_Note1!$E$13:$E$16,0)),INDEX(code_Note1!$F$16,1)),IF(B308&lt;code_Note1!$D$21,"No",IFERROR(VLOOKUP(C308,code_Note1!$D$3:$G$8,3,FALSE),""))))</f>
        <v>No</v>
      </c>
      <c r="P308" s="3" t="s">
        <v>832</v>
      </c>
    </row>
    <row r="309" spans="1:16" ht="19.5" customHeight="1">
      <c r="A309" s="2" t="s">
        <v>854</v>
      </c>
      <c r="B309" s="38">
        <v>45794</v>
      </c>
      <c r="C309" s="1">
        <v>3</v>
      </c>
      <c r="D309" s="1" t="s">
        <v>823</v>
      </c>
      <c r="E309" s="1" t="s">
        <v>12</v>
      </c>
      <c r="F309" s="8" t="s">
        <v>12</v>
      </c>
      <c r="G309" s="6">
        <v>817000</v>
      </c>
      <c r="H309" s="6"/>
      <c r="I309" s="6"/>
      <c r="J309" s="7"/>
      <c r="K309" s="73"/>
      <c r="L309" s="73"/>
      <c r="M309" s="73"/>
      <c r="N309" s="73"/>
      <c r="O309" s="3" t="str">
        <f>IF(C309="","",IF(C309=5,IFERROR(INDEX(code_Note1!$F$13:$F$16,MATCH(E309,code_Note1!$E$13:$E$16,0)),INDEX(code_Note1!$F$16,1)),IF(B309&lt;code_Note1!$D$21,"No",IFERROR(VLOOKUP(C309,code_Note1!$D$3:$G$8,3,FALSE),""))))</f>
        <v>No</v>
      </c>
      <c r="P309" s="3" t="s">
        <v>832</v>
      </c>
    </row>
    <row r="310" spans="1:16" ht="19.5" customHeight="1">
      <c r="A310" s="2" t="s">
        <v>854</v>
      </c>
      <c r="B310" s="38">
        <v>45795</v>
      </c>
      <c r="C310" s="1">
        <v>3</v>
      </c>
      <c r="D310" s="1" t="s">
        <v>823</v>
      </c>
      <c r="E310" s="1" t="s">
        <v>147</v>
      </c>
      <c r="F310" s="8" t="s">
        <v>308</v>
      </c>
      <c r="G310" s="6">
        <v>730000</v>
      </c>
      <c r="H310" s="6"/>
      <c r="I310" s="6"/>
      <c r="J310" s="7"/>
      <c r="K310" s="73"/>
      <c r="L310" s="73"/>
      <c r="M310" s="73"/>
      <c r="N310" s="73"/>
      <c r="O310" s="3" t="str">
        <f>IF(C310="","",IF(C310=5,IFERROR(INDEX(code_Note1!$F$13:$F$16,MATCH(E310,code_Note1!$E$13:$E$16,0)),INDEX(code_Note1!$F$16,1)),IF(B310&lt;code_Note1!$D$21,"No",IFERROR(VLOOKUP(C310,code_Note1!$D$3:$G$8,3,FALSE),""))))</f>
        <v>No</v>
      </c>
      <c r="P310" s="3" t="s">
        <v>832</v>
      </c>
    </row>
    <row r="311" spans="1:16" ht="19.5" customHeight="1">
      <c r="A311" s="2" t="s">
        <v>854</v>
      </c>
      <c r="B311" s="38">
        <v>45796</v>
      </c>
      <c r="C311" s="1">
        <v>3</v>
      </c>
      <c r="D311" s="1" t="s">
        <v>823</v>
      </c>
      <c r="E311" s="1" t="s">
        <v>44</v>
      </c>
      <c r="F311" s="8" t="s">
        <v>309</v>
      </c>
      <c r="G311" s="6">
        <v>162000</v>
      </c>
      <c r="H311" s="6"/>
      <c r="I311" s="6"/>
      <c r="J311" s="7"/>
      <c r="K311" s="73"/>
      <c r="L311" s="73"/>
      <c r="M311" s="73"/>
      <c r="N311" s="73"/>
      <c r="O311" s="3" t="str">
        <f>IF(C311="","",IF(C311=5,IFERROR(INDEX(code_Note1!$F$13:$F$16,MATCH(E311,code_Note1!$E$13:$E$16,0)),INDEX(code_Note1!$F$16,1)),IF(B311&lt;code_Note1!$D$21,"No",IFERROR(VLOOKUP(C311,code_Note1!$D$3:$G$8,3,FALSE),""))))</f>
        <v>No</v>
      </c>
      <c r="P311" s="3" t="s">
        <v>832</v>
      </c>
    </row>
    <row r="312" spans="1:16" ht="19.5" customHeight="1">
      <c r="A312" s="2" t="s">
        <v>854</v>
      </c>
      <c r="B312" s="38">
        <v>45797</v>
      </c>
      <c r="C312" s="1">
        <v>2</v>
      </c>
      <c r="D312" s="1" t="s">
        <v>838</v>
      </c>
      <c r="E312" s="1" t="s">
        <v>46</v>
      </c>
      <c r="F312" s="8" t="s">
        <v>130</v>
      </c>
      <c r="G312" s="6">
        <v>2200000</v>
      </c>
      <c r="H312" s="6"/>
      <c r="I312" s="6"/>
      <c r="J312" s="7"/>
      <c r="K312" s="73"/>
      <c r="L312" s="73"/>
      <c r="M312" s="73"/>
      <c r="N312" s="73"/>
      <c r="O312" s="3" t="str">
        <f>IF(C312="","",IF(C312=5,IFERROR(INDEX(code_Note1!$F$13:$F$16,MATCH(E312,code_Note1!$E$13:$E$16,0)),INDEX(code_Note1!$F$16,1)),IF(B312&lt;code_Note1!$D$21,"No",IFERROR(VLOOKUP(C312,code_Note1!$D$3:$G$8,3,FALSE),""))))</f>
        <v>No</v>
      </c>
      <c r="P312" s="3" t="s">
        <v>831</v>
      </c>
    </row>
    <row r="313" spans="1:16" ht="19.5" customHeight="1">
      <c r="A313" s="2" t="s">
        <v>854</v>
      </c>
      <c r="B313" s="38">
        <v>45797</v>
      </c>
      <c r="C313" s="1">
        <v>2</v>
      </c>
      <c r="D313" s="1" t="s">
        <v>838</v>
      </c>
      <c r="E313" s="1" t="s">
        <v>51</v>
      </c>
      <c r="F313" s="8" t="s">
        <v>310</v>
      </c>
      <c r="G313" s="6">
        <v>2800000</v>
      </c>
      <c r="H313" s="6"/>
      <c r="I313" s="6"/>
      <c r="J313" s="7"/>
      <c r="K313" s="73"/>
      <c r="L313" s="73"/>
      <c r="M313" s="73"/>
      <c r="N313" s="73"/>
      <c r="O313" s="3" t="str">
        <f>IF(C313="","",IF(C313=5,IFERROR(INDEX(code_Note1!$F$13:$F$16,MATCH(E313,code_Note1!$E$13:$E$16,0)),INDEX(code_Note1!$F$16,1)),IF(B313&lt;code_Note1!$D$21,"No",IFERROR(VLOOKUP(C313,code_Note1!$D$3:$G$8,3,FALSE),""))))</f>
        <v>No</v>
      </c>
      <c r="P313" s="3" t="s">
        <v>831</v>
      </c>
    </row>
    <row r="314" spans="1:16" ht="19.5" customHeight="1">
      <c r="A314" s="2" t="s">
        <v>854</v>
      </c>
      <c r="B314" s="38">
        <v>45797</v>
      </c>
      <c r="C314" s="1">
        <v>2</v>
      </c>
      <c r="D314" s="1" t="s">
        <v>838</v>
      </c>
      <c r="E314" s="1" t="s">
        <v>21</v>
      </c>
      <c r="F314" s="8" t="s">
        <v>311</v>
      </c>
      <c r="G314" s="6">
        <v>400000</v>
      </c>
      <c r="H314" s="6"/>
      <c r="I314" s="6"/>
      <c r="J314" s="7"/>
      <c r="K314" s="73"/>
      <c r="L314" s="73"/>
      <c r="M314" s="73"/>
      <c r="N314" s="73"/>
      <c r="O314" s="3" t="str">
        <f>IF(C314="","",IF(C314=5,IFERROR(INDEX(code_Note1!$F$13:$F$16,MATCH(E314,code_Note1!$E$13:$E$16,0)),INDEX(code_Note1!$F$16,1)),IF(B314&lt;code_Note1!$D$21,"No",IFERROR(VLOOKUP(C314,code_Note1!$D$3:$G$8,3,FALSE),""))))</f>
        <v>No</v>
      </c>
      <c r="P314" s="3" t="s">
        <v>831</v>
      </c>
    </row>
    <row r="315" spans="1:16" ht="19.5" customHeight="1">
      <c r="A315" s="2" t="s">
        <v>854</v>
      </c>
      <c r="B315" s="38">
        <v>45798</v>
      </c>
      <c r="C315" s="1">
        <v>2</v>
      </c>
      <c r="D315" s="1" t="s">
        <v>838</v>
      </c>
      <c r="E315" s="1" t="s">
        <v>46</v>
      </c>
      <c r="F315" s="8" t="s">
        <v>130</v>
      </c>
      <c r="G315" s="6">
        <v>300000</v>
      </c>
      <c r="H315" s="6"/>
      <c r="I315" s="6"/>
      <c r="J315" s="7"/>
      <c r="K315" s="73"/>
      <c r="L315" s="73"/>
      <c r="M315" s="73"/>
      <c r="N315" s="73"/>
      <c r="O315" s="3" t="str">
        <f>IF(C315="","",IF(C315=5,IFERROR(INDEX(code_Note1!$F$13:$F$16,MATCH(E315,code_Note1!$E$13:$E$16,0)),INDEX(code_Note1!$F$16,1)),IF(B315&lt;code_Note1!$D$21,"No",IFERROR(VLOOKUP(C315,code_Note1!$D$3:$G$8,3,FALSE),""))))</f>
        <v>No</v>
      </c>
      <c r="P315" s="3" t="s">
        <v>831</v>
      </c>
    </row>
    <row r="316" spans="1:16" ht="19.5" customHeight="1">
      <c r="A316" s="2" t="s">
        <v>854</v>
      </c>
      <c r="B316" s="38">
        <v>45798</v>
      </c>
      <c r="C316" s="1">
        <v>2</v>
      </c>
      <c r="D316" s="1" t="s">
        <v>838</v>
      </c>
      <c r="E316" s="1" t="s">
        <v>46</v>
      </c>
      <c r="F316" s="8" t="s">
        <v>312</v>
      </c>
      <c r="G316" s="6">
        <v>3600000</v>
      </c>
      <c r="H316" s="6"/>
      <c r="I316" s="6"/>
      <c r="J316" s="7"/>
      <c r="K316" s="73"/>
      <c r="L316" s="73"/>
      <c r="M316" s="73"/>
      <c r="N316" s="73"/>
      <c r="O316" s="3" t="str">
        <f>IF(C316="","",IF(C316=5,IFERROR(INDEX(code_Note1!$F$13:$F$16,MATCH(E316,code_Note1!$E$13:$E$16,0)),INDEX(code_Note1!$F$16,1)),IF(B316&lt;code_Note1!$D$21,"No",IFERROR(VLOOKUP(C316,code_Note1!$D$3:$G$8,3,FALSE),""))))</f>
        <v>No</v>
      </c>
      <c r="P316" s="3" t="s">
        <v>831</v>
      </c>
    </row>
    <row r="317" spans="1:16" ht="19.5" customHeight="1">
      <c r="A317" s="2" t="s">
        <v>854</v>
      </c>
      <c r="B317" s="38">
        <v>45800</v>
      </c>
      <c r="C317" s="1">
        <v>2</v>
      </c>
      <c r="D317" s="1" t="s">
        <v>838</v>
      </c>
      <c r="E317" s="36" t="s">
        <v>80</v>
      </c>
      <c r="F317" s="8" t="s">
        <v>313</v>
      </c>
      <c r="G317" s="6">
        <v>9300000</v>
      </c>
      <c r="H317" s="6"/>
      <c r="I317" s="6"/>
      <c r="J317" s="7"/>
      <c r="K317" s="73"/>
      <c r="L317" s="73"/>
      <c r="M317" s="73"/>
      <c r="N317" s="73"/>
      <c r="O317" s="3" t="str">
        <f>IF(C317="","",IF(C317=5,IFERROR(INDEX(code_Note1!$F$13:$F$16,MATCH(E317,code_Note1!$E$13:$E$16,0)),INDEX(code_Note1!$F$16,1)),IF(B317&lt;code_Note1!$D$21,"No",IFERROR(VLOOKUP(C317,code_Note1!$D$3:$G$8,3,FALSE),""))))</f>
        <v>No</v>
      </c>
      <c r="P317" s="3" t="s">
        <v>831</v>
      </c>
    </row>
    <row r="318" spans="1:16" ht="19.5" customHeight="1">
      <c r="A318" s="2" t="s">
        <v>854</v>
      </c>
      <c r="B318" s="38">
        <v>45801</v>
      </c>
      <c r="C318" s="1">
        <v>3</v>
      </c>
      <c r="D318" s="1" t="s">
        <v>823</v>
      </c>
      <c r="E318" s="1" t="s">
        <v>12</v>
      </c>
      <c r="F318" s="8" t="s">
        <v>12</v>
      </c>
      <c r="G318" s="6">
        <v>1235000</v>
      </c>
      <c r="H318" s="6"/>
      <c r="I318" s="6"/>
      <c r="J318" s="7"/>
      <c r="K318" s="73"/>
      <c r="L318" s="73"/>
      <c r="M318" s="73"/>
      <c r="N318" s="73"/>
      <c r="O318" s="3" t="str">
        <f>IF(C318="","",IF(C318=5,IFERROR(INDEX(code_Note1!$F$13:$F$16,MATCH(E318,code_Note1!$E$13:$E$16,0)),INDEX(code_Note1!$F$16,1)),IF(B318&lt;code_Note1!$D$21,"No",IFERROR(VLOOKUP(C318,code_Note1!$D$3:$G$8,3,FALSE),""))))</f>
        <v>No</v>
      </c>
      <c r="P318" s="3" t="s">
        <v>832</v>
      </c>
    </row>
    <row r="319" spans="1:16" ht="19.5" customHeight="1">
      <c r="A319" s="2" t="s">
        <v>854</v>
      </c>
      <c r="B319" s="38">
        <v>45801</v>
      </c>
      <c r="C319" s="1">
        <v>2</v>
      </c>
      <c r="D319" s="1" t="s">
        <v>838</v>
      </c>
      <c r="E319" s="1" t="s">
        <v>198</v>
      </c>
      <c r="F319" s="8" t="s">
        <v>314</v>
      </c>
      <c r="G319" s="6">
        <v>935000</v>
      </c>
      <c r="H319" s="6"/>
      <c r="I319" s="6"/>
      <c r="J319" s="7"/>
      <c r="K319" s="73"/>
      <c r="L319" s="73"/>
      <c r="M319" s="73"/>
      <c r="N319" s="73"/>
      <c r="O319" s="3" t="str">
        <f>IF(C319="","",IF(C319=5,IFERROR(INDEX(code_Note1!$F$13:$F$16,MATCH(E319,code_Note1!$E$13:$E$16,0)),INDEX(code_Note1!$F$16,1)),IF(B319&lt;code_Note1!$D$21,"No",IFERROR(VLOOKUP(C319,code_Note1!$D$3:$G$8,3,FALSE),""))))</f>
        <v>No</v>
      </c>
      <c r="P319" s="3" t="s">
        <v>831</v>
      </c>
    </row>
    <row r="320" spans="1:16" ht="19.5" customHeight="1">
      <c r="A320" s="2" t="s">
        <v>854</v>
      </c>
      <c r="B320" s="38">
        <v>45801</v>
      </c>
      <c r="C320" s="1">
        <v>3</v>
      </c>
      <c r="D320" s="1" t="s">
        <v>823</v>
      </c>
      <c r="E320" s="1" t="s">
        <v>44</v>
      </c>
      <c r="F320" s="8" t="s">
        <v>315</v>
      </c>
      <c r="G320" s="6">
        <v>225000</v>
      </c>
      <c r="H320" s="6"/>
      <c r="I320" s="6"/>
      <c r="J320" s="7"/>
      <c r="K320" s="73"/>
      <c r="L320" s="73"/>
      <c r="M320" s="73"/>
      <c r="N320" s="73"/>
      <c r="O320" s="3" t="str">
        <f>IF(C320="","",IF(C320=5,IFERROR(INDEX(code_Note1!$F$13:$F$16,MATCH(E320,code_Note1!$E$13:$E$16,0)),INDEX(code_Note1!$F$16,1)),IF(B320&lt;code_Note1!$D$21,"No",IFERROR(VLOOKUP(C320,code_Note1!$D$3:$G$8,3,FALSE),""))))</f>
        <v>No</v>
      </c>
      <c r="P320" s="3" t="s">
        <v>832</v>
      </c>
    </row>
    <row r="321" spans="1:16" ht="19.5" customHeight="1">
      <c r="A321" s="2" t="s">
        <v>854</v>
      </c>
      <c r="B321" s="38">
        <v>45802</v>
      </c>
      <c r="C321" s="1">
        <v>2</v>
      </c>
      <c r="D321" s="1" t="s">
        <v>838</v>
      </c>
      <c r="E321" s="1" t="s">
        <v>46</v>
      </c>
      <c r="F321" s="8" t="s">
        <v>316</v>
      </c>
      <c r="G321" s="6">
        <v>150000</v>
      </c>
      <c r="H321" s="6"/>
      <c r="I321" s="6"/>
      <c r="J321" s="7"/>
      <c r="K321" s="73"/>
      <c r="L321" s="73"/>
      <c r="M321" s="73"/>
      <c r="N321" s="73"/>
      <c r="O321" s="3" t="str">
        <f>IF(C321="","",IF(C321=5,IFERROR(INDEX(code_Note1!$F$13:$F$16,MATCH(E321,code_Note1!$E$13:$E$16,0)),INDEX(code_Note1!$F$16,1)),IF(B321&lt;code_Note1!$D$21,"No",IFERROR(VLOOKUP(C321,code_Note1!$D$3:$G$8,3,FALSE),""))))</f>
        <v>No</v>
      </c>
      <c r="P321" s="3" t="s">
        <v>831</v>
      </c>
    </row>
    <row r="322" spans="1:16" ht="19.5" customHeight="1">
      <c r="A322" s="2" t="s">
        <v>854</v>
      </c>
      <c r="B322" s="38">
        <v>45802</v>
      </c>
      <c r="C322" s="1">
        <v>2</v>
      </c>
      <c r="D322" s="1" t="s">
        <v>838</v>
      </c>
      <c r="E322" s="1" t="s">
        <v>46</v>
      </c>
      <c r="F322" s="8" t="s">
        <v>317</v>
      </c>
      <c r="G322" s="6">
        <v>550000</v>
      </c>
      <c r="H322" s="6"/>
      <c r="I322" s="6"/>
      <c r="J322" s="7"/>
      <c r="K322" s="73"/>
      <c r="L322" s="73"/>
      <c r="M322" s="73"/>
      <c r="N322" s="73"/>
      <c r="O322" s="3" t="str">
        <f>IF(C322="","",IF(C322=5,IFERROR(INDEX(code_Note1!$F$13:$F$16,MATCH(E322,code_Note1!$E$13:$E$16,0)),INDEX(code_Note1!$F$16,1)),IF(B322&lt;code_Note1!$D$21,"No",IFERROR(VLOOKUP(C322,code_Note1!$D$3:$G$8,3,FALSE),""))))</f>
        <v>No</v>
      </c>
      <c r="P322" s="3" t="s">
        <v>831</v>
      </c>
    </row>
    <row r="323" spans="1:16" ht="19.5" customHeight="1">
      <c r="A323" s="2" t="s">
        <v>854</v>
      </c>
      <c r="B323" s="38">
        <v>45804</v>
      </c>
      <c r="C323" s="1">
        <v>2</v>
      </c>
      <c r="D323" s="1" t="s">
        <v>838</v>
      </c>
      <c r="E323" s="1" t="s">
        <v>46</v>
      </c>
      <c r="F323" s="8" t="s">
        <v>318</v>
      </c>
      <c r="G323" s="6">
        <v>2850000</v>
      </c>
      <c r="H323" s="6"/>
      <c r="I323" s="6"/>
      <c r="J323" s="7"/>
      <c r="K323" s="73"/>
      <c r="L323" s="73"/>
      <c r="M323" s="73"/>
      <c r="N323" s="73"/>
      <c r="O323" s="3" t="str">
        <f>IF(C323="","",IF(C323=5,IFERROR(INDEX(code_Note1!$F$13:$F$16,MATCH(E323,code_Note1!$E$13:$E$16,0)),INDEX(code_Note1!$F$16,1)),IF(B323&lt;code_Note1!$D$21,"No",IFERROR(VLOOKUP(C323,code_Note1!$D$3:$G$8,3,FALSE),""))))</f>
        <v>No</v>
      </c>
      <c r="P323" s="3" t="s">
        <v>831</v>
      </c>
    </row>
    <row r="324" spans="1:16" ht="19.5" customHeight="1">
      <c r="A324" s="2" t="s">
        <v>854</v>
      </c>
      <c r="B324" s="38">
        <v>45805</v>
      </c>
      <c r="C324" s="1">
        <v>2</v>
      </c>
      <c r="D324" s="1" t="s">
        <v>838</v>
      </c>
      <c r="E324" s="1" t="s">
        <v>166</v>
      </c>
      <c r="F324" s="8" t="s">
        <v>272</v>
      </c>
      <c r="G324" s="6">
        <v>2000000</v>
      </c>
      <c r="H324" s="6"/>
      <c r="I324" s="6"/>
      <c r="J324" s="7"/>
      <c r="K324" s="73"/>
      <c r="L324" s="73"/>
      <c r="M324" s="73"/>
      <c r="N324" s="73"/>
      <c r="O324" s="3" t="str">
        <f>IF(C324="","",IF(C324=5,IFERROR(INDEX(code_Note1!$F$13:$F$16,MATCH(E324,code_Note1!$E$13:$E$16,0)),INDEX(code_Note1!$F$16,1)),IF(B324&lt;code_Note1!$D$21,"No",IFERROR(VLOOKUP(C324,code_Note1!$D$3:$G$8,3,FALSE),""))))</f>
        <v>No</v>
      </c>
      <c r="P324" s="3" t="s">
        <v>831</v>
      </c>
    </row>
    <row r="325" spans="1:16" ht="19.5" customHeight="1">
      <c r="A325" s="2" t="s">
        <v>854</v>
      </c>
      <c r="B325" s="38">
        <v>45805</v>
      </c>
      <c r="C325" s="1">
        <v>2</v>
      </c>
      <c r="D325" s="1" t="s">
        <v>838</v>
      </c>
      <c r="E325" s="1" t="s">
        <v>42</v>
      </c>
      <c r="F325" s="8" t="s">
        <v>42</v>
      </c>
      <c r="G325" s="6">
        <v>3008000</v>
      </c>
      <c r="H325" s="6"/>
      <c r="I325" s="6"/>
      <c r="J325" s="7"/>
      <c r="K325" s="73"/>
      <c r="L325" s="73"/>
      <c r="M325" s="73"/>
      <c r="N325" s="73"/>
      <c r="O325" s="3" t="str">
        <f>IF(C325="","",IF(C325=5,IFERROR(INDEX(code_Note1!$F$13:$F$16,MATCH(E325,code_Note1!$E$13:$E$16,0)),INDEX(code_Note1!$F$16,1)),IF(B325&lt;code_Note1!$D$21,"No",IFERROR(VLOOKUP(C325,code_Note1!$D$3:$G$8,3,FALSE),""))))</f>
        <v>No</v>
      </c>
      <c r="P325" s="3" t="s">
        <v>831</v>
      </c>
    </row>
    <row r="326" spans="1:16" ht="19.5" customHeight="1">
      <c r="A326" s="2" t="s">
        <v>854</v>
      </c>
      <c r="B326" s="38">
        <v>45806</v>
      </c>
      <c r="C326" s="1">
        <v>3</v>
      </c>
      <c r="D326" s="1" t="s">
        <v>823</v>
      </c>
      <c r="E326" s="1" t="s">
        <v>38</v>
      </c>
      <c r="F326" s="8" t="s">
        <v>319</v>
      </c>
      <c r="G326" s="6">
        <v>200000</v>
      </c>
      <c r="H326" s="6"/>
      <c r="I326" s="6"/>
      <c r="J326" s="7"/>
      <c r="K326" s="73"/>
      <c r="L326" s="73"/>
      <c r="M326" s="73"/>
      <c r="N326" s="73"/>
      <c r="O326" s="3" t="str">
        <f>IF(C326="","",IF(C326=5,IFERROR(INDEX(code_Note1!$F$13:$F$16,MATCH(E326,code_Note1!$E$13:$E$16,0)),INDEX(code_Note1!$F$16,1)),IF(B326&lt;code_Note1!$D$21,"No",IFERROR(VLOOKUP(C326,code_Note1!$D$3:$G$8,3,FALSE),""))))</f>
        <v>No</v>
      </c>
      <c r="P326" s="3" t="s">
        <v>832</v>
      </c>
    </row>
    <row r="327" spans="1:16" ht="19.5" customHeight="1">
      <c r="A327" s="2" t="s">
        <v>854</v>
      </c>
      <c r="B327" s="38">
        <v>45806</v>
      </c>
      <c r="C327" s="1">
        <v>2</v>
      </c>
      <c r="D327" s="1" t="s">
        <v>838</v>
      </c>
      <c r="E327" s="1" t="s">
        <v>46</v>
      </c>
      <c r="F327" s="8" t="s">
        <v>320</v>
      </c>
      <c r="G327" s="6">
        <v>2025000</v>
      </c>
      <c r="H327" s="6"/>
      <c r="I327" s="6"/>
      <c r="J327" s="7"/>
      <c r="K327" s="73"/>
      <c r="L327" s="73"/>
      <c r="M327" s="73"/>
      <c r="N327" s="73"/>
      <c r="O327" s="3" t="str">
        <f>IF(C327="","",IF(C327=5,IFERROR(INDEX(code_Note1!$F$13:$F$16,MATCH(E327,code_Note1!$E$13:$E$16,0)),INDEX(code_Note1!$F$16,1)),IF(B327&lt;code_Note1!$D$21,"No",IFERROR(VLOOKUP(C327,code_Note1!$D$3:$G$8,3,FALSE),""))))</f>
        <v>No</v>
      </c>
      <c r="P327" s="3" t="s">
        <v>831</v>
      </c>
    </row>
    <row r="328" spans="1:16" ht="19.5" customHeight="1">
      <c r="A328" s="2" t="s">
        <v>854</v>
      </c>
      <c r="B328" s="38">
        <v>45806</v>
      </c>
      <c r="C328" s="1">
        <v>2</v>
      </c>
      <c r="D328" s="1" t="s">
        <v>838</v>
      </c>
      <c r="E328" s="1" t="s">
        <v>21</v>
      </c>
      <c r="F328" s="8" t="s">
        <v>321</v>
      </c>
      <c r="G328" s="6">
        <v>135000</v>
      </c>
      <c r="H328" s="6"/>
      <c r="I328" s="6"/>
      <c r="J328" s="7"/>
      <c r="K328" s="73"/>
      <c r="L328" s="73"/>
      <c r="M328" s="73"/>
      <c r="N328" s="73"/>
      <c r="O328" s="3" t="str">
        <f>IF(C328="","",IF(C328=5,IFERROR(INDEX(code_Note1!$F$13:$F$16,MATCH(E328,code_Note1!$E$13:$E$16,0)),INDEX(code_Note1!$F$16,1)),IF(B328&lt;code_Note1!$D$21,"No",IFERROR(VLOOKUP(C328,code_Note1!$D$3:$G$8,3,FALSE),""))))</f>
        <v>No</v>
      </c>
      <c r="P328" s="3" t="s">
        <v>831</v>
      </c>
    </row>
    <row r="329" spans="1:16" ht="19.5" customHeight="1">
      <c r="A329" s="2" t="s">
        <v>854</v>
      </c>
      <c r="B329" s="38">
        <v>45807</v>
      </c>
      <c r="C329" s="1">
        <v>2</v>
      </c>
      <c r="D329" s="1" t="s">
        <v>838</v>
      </c>
      <c r="E329" s="1" t="s">
        <v>46</v>
      </c>
      <c r="F329" s="8" t="s">
        <v>124</v>
      </c>
      <c r="G329" s="6">
        <v>3000000</v>
      </c>
      <c r="H329" s="6"/>
      <c r="I329" s="6"/>
      <c r="J329" s="7"/>
      <c r="K329" s="73"/>
      <c r="L329" s="73"/>
      <c r="M329" s="73"/>
      <c r="N329" s="73"/>
      <c r="O329" s="3" t="str">
        <f>IF(C329="","",IF(C329=5,IFERROR(INDEX(code_Note1!$F$13:$F$16,MATCH(E329,code_Note1!$E$13:$E$16,0)),INDEX(code_Note1!$F$16,1)),IF(B329&lt;code_Note1!$D$21,"No",IFERROR(VLOOKUP(C329,code_Note1!$D$3:$G$8,3,FALSE),""))))</f>
        <v>No</v>
      </c>
      <c r="P329" s="3" t="s">
        <v>831</v>
      </c>
    </row>
    <row r="330" spans="1:16" ht="19.5" customHeight="1">
      <c r="A330" s="2" t="s">
        <v>854</v>
      </c>
      <c r="B330" s="38">
        <v>45808</v>
      </c>
      <c r="C330" s="1">
        <v>2</v>
      </c>
      <c r="D330" s="1" t="s">
        <v>838</v>
      </c>
      <c r="E330" s="1" t="s">
        <v>76</v>
      </c>
      <c r="F330" s="8" t="s">
        <v>322</v>
      </c>
      <c r="G330" s="6">
        <v>570000</v>
      </c>
      <c r="H330" s="6"/>
      <c r="I330" s="6"/>
      <c r="J330" s="7"/>
      <c r="K330" s="73"/>
      <c r="L330" s="73"/>
      <c r="M330" s="73"/>
      <c r="N330" s="73"/>
      <c r="O330" s="3" t="str">
        <f>IF(C330="","",IF(C330=5,IFERROR(INDEX(code_Note1!$F$13:$F$16,MATCH(E330,code_Note1!$E$13:$E$16,0)),INDEX(code_Note1!$F$16,1)),IF(B330&lt;code_Note1!$D$21,"No",IFERROR(VLOOKUP(C330,code_Note1!$D$3:$G$8,3,FALSE),""))))</f>
        <v>No</v>
      </c>
      <c r="P330" s="3" t="s">
        <v>831</v>
      </c>
    </row>
    <row r="331" spans="1:16" ht="19.5" customHeight="1">
      <c r="A331" s="2" t="s">
        <v>854</v>
      </c>
      <c r="B331" s="38">
        <v>45808</v>
      </c>
      <c r="C331" s="1">
        <v>2</v>
      </c>
      <c r="D331" s="1" t="s">
        <v>838</v>
      </c>
      <c r="E331" s="1" t="s">
        <v>76</v>
      </c>
      <c r="F331" s="8" t="s">
        <v>322</v>
      </c>
      <c r="G331" s="6">
        <v>550000</v>
      </c>
      <c r="H331" s="6"/>
      <c r="I331" s="6"/>
      <c r="J331" s="7"/>
      <c r="K331" s="73"/>
      <c r="L331" s="73"/>
      <c r="M331" s="73"/>
      <c r="N331" s="73"/>
      <c r="O331" s="3" t="str">
        <f>IF(C331="","",IF(C331=5,IFERROR(INDEX(code_Note1!$F$13:$F$16,MATCH(E331,code_Note1!$E$13:$E$16,0)),INDEX(code_Note1!$F$16,1)),IF(B331&lt;code_Note1!$D$21,"No",IFERROR(VLOOKUP(C331,code_Note1!$D$3:$G$8,3,FALSE),""))))</f>
        <v>No</v>
      </c>
      <c r="P331" s="3" t="s">
        <v>831</v>
      </c>
    </row>
    <row r="332" spans="1:16" ht="19.5" customHeight="1">
      <c r="A332" s="2" t="s">
        <v>854</v>
      </c>
      <c r="B332" s="38">
        <v>45808</v>
      </c>
      <c r="C332" s="1">
        <v>1</v>
      </c>
      <c r="D332" s="1" t="s">
        <v>824</v>
      </c>
      <c r="E332" s="1" t="s">
        <v>103</v>
      </c>
      <c r="F332" s="8" t="s">
        <v>323</v>
      </c>
      <c r="G332" s="6">
        <v>500000</v>
      </c>
      <c r="H332" s="6"/>
      <c r="I332" s="6"/>
      <c r="J332" s="7"/>
      <c r="K332" s="73"/>
      <c r="L332" s="73"/>
      <c r="M332" s="73"/>
      <c r="N332" s="73"/>
      <c r="O332" s="3" t="str">
        <f>IF(C332="","",IF(C332=5,IFERROR(INDEX(code_Note1!$F$13:$F$16,MATCH(E332,code_Note1!$E$13:$E$16,0)),INDEX(code_Note1!$F$16,1)),IF(B332&lt;code_Note1!$D$21,"No",IFERROR(VLOOKUP(C332,code_Note1!$D$3:$G$8,3,FALSE),""))))</f>
        <v>No</v>
      </c>
      <c r="P332" s="3" t="s">
        <v>832</v>
      </c>
    </row>
    <row r="333" spans="1:16" ht="19.5" customHeight="1">
      <c r="A333" s="2" t="s">
        <v>854</v>
      </c>
      <c r="B333" s="38">
        <v>45808</v>
      </c>
      <c r="C333" s="1">
        <v>2</v>
      </c>
      <c r="D333" s="1" t="s">
        <v>838</v>
      </c>
      <c r="E333" s="1" t="s">
        <v>46</v>
      </c>
      <c r="F333" s="8" t="s">
        <v>324</v>
      </c>
      <c r="G333" s="6">
        <v>2400000</v>
      </c>
      <c r="H333" s="6"/>
      <c r="I333" s="6"/>
      <c r="J333" s="7"/>
      <c r="K333" s="73"/>
      <c r="L333" s="73"/>
      <c r="M333" s="73"/>
      <c r="N333" s="73"/>
      <c r="O333" s="3" t="str">
        <f>IF(C333="","",IF(C333=5,IFERROR(INDEX(code_Note1!$F$13:$F$16,MATCH(E333,code_Note1!$E$13:$E$16,0)),INDEX(code_Note1!$F$16,1)),IF(B333&lt;code_Note1!$D$21,"No",IFERROR(VLOOKUP(C333,code_Note1!$D$3:$G$8,3,FALSE),""))))</f>
        <v>No</v>
      </c>
      <c r="P333" s="3" t="s">
        <v>831</v>
      </c>
    </row>
    <row r="334" spans="1:16" ht="19.5" customHeight="1">
      <c r="A334" s="2" t="s">
        <v>854</v>
      </c>
      <c r="B334" s="38">
        <v>45808</v>
      </c>
      <c r="C334" s="1">
        <v>2</v>
      </c>
      <c r="D334" s="1" t="s">
        <v>838</v>
      </c>
      <c r="E334" s="1" t="s">
        <v>46</v>
      </c>
      <c r="F334" s="8" t="s">
        <v>325</v>
      </c>
      <c r="G334" s="6">
        <v>2000000</v>
      </c>
      <c r="H334" s="6"/>
      <c r="I334" s="6"/>
      <c r="J334" s="7"/>
      <c r="K334" s="73"/>
      <c r="L334" s="73"/>
      <c r="M334" s="73"/>
      <c r="N334" s="73"/>
      <c r="O334" s="3" t="str">
        <f>IF(C334="","",IF(C334=5,IFERROR(INDEX(code_Note1!$F$13:$F$16,MATCH(E334,code_Note1!$E$13:$E$16,0)),INDEX(code_Note1!$F$16,1)),IF(B334&lt;code_Note1!$D$21,"No",IFERROR(VLOOKUP(C334,code_Note1!$D$3:$G$8,3,FALSE),""))))</f>
        <v>No</v>
      </c>
      <c r="P334" s="3" t="s">
        <v>831</v>
      </c>
    </row>
    <row r="335" spans="1:16" ht="19.5" customHeight="1">
      <c r="A335" s="2" t="s">
        <v>854</v>
      </c>
      <c r="B335" s="38">
        <v>45808</v>
      </c>
      <c r="C335" s="1">
        <v>3</v>
      </c>
      <c r="D335" s="1" t="s">
        <v>823</v>
      </c>
      <c r="E335" s="1" t="s">
        <v>12</v>
      </c>
      <c r="F335" s="8" t="s">
        <v>326</v>
      </c>
      <c r="G335" s="6">
        <v>50000</v>
      </c>
      <c r="H335" s="6"/>
      <c r="I335" s="6"/>
      <c r="J335" s="7"/>
      <c r="K335" s="73"/>
      <c r="L335" s="73"/>
      <c r="M335" s="73"/>
      <c r="N335" s="73"/>
      <c r="O335" s="3" t="str">
        <f>IF(C335="","",IF(C335=5,IFERROR(INDEX(code_Note1!$F$13:$F$16,MATCH(E335,code_Note1!$E$13:$E$16,0)),INDEX(code_Note1!$F$16,1)),IF(B335&lt;code_Note1!$D$21,"No",IFERROR(VLOOKUP(C335,code_Note1!$D$3:$G$8,3,FALSE),""))))</f>
        <v>No</v>
      </c>
      <c r="P335" s="3" t="s">
        <v>832</v>
      </c>
    </row>
    <row r="336" spans="1:16" ht="19.5" customHeight="1">
      <c r="A336" s="2" t="s">
        <v>854</v>
      </c>
      <c r="B336" s="38">
        <v>45809</v>
      </c>
      <c r="C336" s="1">
        <v>2</v>
      </c>
      <c r="D336" s="1" t="s">
        <v>838</v>
      </c>
      <c r="E336" s="1" t="s">
        <v>21</v>
      </c>
      <c r="F336" s="8" t="s">
        <v>327</v>
      </c>
      <c r="G336" s="6">
        <v>914000</v>
      </c>
      <c r="H336" s="6"/>
      <c r="I336" s="6"/>
      <c r="J336" s="7"/>
      <c r="K336" s="73"/>
      <c r="L336" s="73"/>
      <c r="M336" s="73"/>
      <c r="N336" s="73"/>
      <c r="O336" s="3" t="str">
        <f>IF(C336="","",IF(C336=5,IFERROR(INDEX(code_Note1!$F$13:$F$16,MATCH(E336,code_Note1!$E$13:$E$16,0)),INDEX(code_Note1!$F$16,1)),IF(B336&lt;code_Note1!$D$21,"No",IFERROR(VLOOKUP(C336,code_Note1!$D$3:$G$8,3,FALSE),""))))</f>
        <v>No</v>
      </c>
      <c r="P336" s="3" t="s">
        <v>831</v>
      </c>
    </row>
    <row r="337" spans="1:16" ht="19.5" customHeight="1">
      <c r="A337" s="2" t="s">
        <v>854</v>
      </c>
      <c r="B337" s="38">
        <v>45809</v>
      </c>
      <c r="C337" s="1">
        <v>2</v>
      </c>
      <c r="D337" s="1" t="s">
        <v>838</v>
      </c>
      <c r="E337" s="1" t="s">
        <v>46</v>
      </c>
      <c r="F337" s="8" t="s">
        <v>320</v>
      </c>
      <c r="G337" s="6">
        <v>3000000</v>
      </c>
      <c r="H337" s="6"/>
      <c r="I337" s="6"/>
      <c r="J337" s="7"/>
      <c r="K337" s="73"/>
      <c r="L337" s="73"/>
      <c r="M337" s="73"/>
      <c r="N337" s="73"/>
      <c r="O337" s="3" t="str">
        <f>IF(C337="","",IF(C337=5,IFERROR(INDEX(code_Note1!$F$13:$F$16,MATCH(E337,code_Note1!$E$13:$E$16,0)),INDEX(code_Note1!$F$16,1)),IF(B337&lt;code_Note1!$D$21,"No",IFERROR(VLOOKUP(C337,code_Note1!$D$3:$G$8,3,FALSE),""))))</f>
        <v>No</v>
      </c>
      <c r="P337" s="3" t="s">
        <v>831</v>
      </c>
    </row>
    <row r="338" spans="1:16" ht="19.5" customHeight="1">
      <c r="A338" s="2" t="s">
        <v>854</v>
      </c>
      <c r="B338" s="38">
        <v>45810</v>
      </c>
      <c r="C338" s="1">
        <v>2</v>
      </c>
      <c r="D338" s="1" t="s">
        <v>838</v>
      </c>
      <c r="E338" s="1" t="s">
        <v>42</v>
      </c>
      <c r="F338" s="8" t="s">
        <v>328</v>
      </c>
      <c r="G338" s="6">
        <v>14480000</v>
      </c>
      <c r="H338" s="6"/>
      <c r="I338" s="6"/>
      <c r="J338" s="7"/>
      <c r="K338" s="73"/>
      <c r="L338" s="73"/>
      <c r="M338" s="73"/>
      <c r="N338" s="73"/>
      <c r="O338" s="3" t="str">
        <f>IF(C338="","",IF(C338=5,IFERROR(INDEX(code_Note1!$F$13:$F$16,MATCH(E338,code_Note1!$E$13:$E$16,0)),INDEX(code_Note1!$F$16,1)),IF(B338&lt;code_Note1!$D$21,"No",IFERROR(VLOOKUP(C338,code_Note1!$D$3:$G$8,3,FALSE),""))))</f>
        <v>No</v>
      </c>
      <c r="P338" s="3" t="s">
        <v>831</v>
      </c>
    </row>
    <row r="339" spans="1:16" ht="19.5" customHeight="1">
      <c r="A339" s="2" t="s">
        <v>854</v>
      </c>
      <c r="B339" s="38">
        <v>45810</v>
      </c>
      <c r="C339" s="1">
        <v>2</v>
      </c>
      <c r="D339" s="1" t="s">
        <v>838</v>
      </c>
      <c r="E339" s="1" t="s">
        <v>46</v>
      </c>
      <c r="F339" s="8" t="s">
        <v>329</v>
      </c>
      <c r="G339" s="6">
        <v>2025000</v>
      </c>
      <c r="H339" s="6"/>
      <c r="I339" s="6"/>
      <c r="J339" s="7"/>
      <c r="K339" s="73"/>
      <c r="L339" s="73"/>
      <c r="M339" s="73"/>
      <c r="N339" s="73"/>
      <c r="O339" s="3" t="str">
        <f>IF(C339="","",IF(C339=5,IFERROR(INDEX(code_Note1!$F$13:$F$16,MATCH(E339,code_Note1!$E$13:$E$16,0)),INDEX(code_Note1!$F$16,1)),IF(B339&lt;code_Note1!$D$21,"No",IFERROR(VLOOKUP(C339,code_Note1!$D$3:$G$8,3,FALSE),""))))</f>
        <v>No</v>
      </c>
      <c r="P339" s="3" t="s">
        <v>831</v>
      </c>
    </row>
    <row r="340" spans="1:16" ht="19.5" customHeight="1">
      <c r="A340" s="2" t="s">
        <v>854</v>
      </c>
      <c r="B340" s="38">
        <v>45810</v>
      </c>
      <c r="C340" s="1">
        <v>2</v>
      </c>
      <c r="D340" s="1" t="s">
        <v>838</v>
      </c>
      <c r="E340" s="1" t="s">
        <v>21</v>
      </c>
      <c r="F340" s="8" t="s">
        <v>321</v>
      </c>
      <c r="G340" s="6">
        <v>135000</v>
      </c>
      <c r="H340" s="6"/>
      <c r="I340" s="6"/>
      <c r="J340" s="7"/>
      <c r="K340" s="73"/>
      <c r="L340" s="73"/>
      <c r="M340" s="73"/>
      <c r="N340" s="73"/>
      <c r="O340" s="3" t="str">
        <f>IF(C340="","",IF(C340=5,IFERROR(INDEX(code_Note1!$F$13:$F$16,MATCH(E340,code_Note1!$E$13:$E$16,0)),INDEX(code_Note1!$F$16,1)),IF(B340&lt;code_Note1!$D$21,"No",IFERROR(VLOOKUP(C340,code_Note1!$D$3:$G$8,3,FALSE),""))))</f>
        <v>No</v>
      </c>
      <c r="P340" s="3" t="s">
        <v>831</v>
      </c>
    </row>
    <row r="341" spans="1:16" ht="19.5" customHeight="1">
      <c r="A341" s="2" t="s">
        <v>854</v>
      </c>
      <c r="B341" s="38">
        <v>45810</v>
      </c>
      <c r="C341" s="1">
        <v>2</v>
      </c>
      <c r="D341" s="1" t="s">
        <v>838</v>
      </c>
      <c r="E341" s="1" t="s">
        <v>166</v>
      </c>
      <c r="F341" s="8" t="s">
        <v>330</v>
      </c>
      <c r="G341" s="6">
        <v>2000000</v>
      </c>
      <c r="H341" s="6"/>
      <c r="I341" s="6"/>
      <c r="J341" s="7"/>
      <c r="K341" s="73"/>
      <c r="L341" s="73"/>
      <c r="M341" s="73"/>
      <c r="N341" s="73"/>
      <c r="O341" s="3" t="str">
        <f>IF(C341="","",IF(C341=5,IFERROR(INDEX(code_Note1!$F$13:$F$16,MATCH(E341,code_Note1!$E$13:$E$16,0)),INDEX(code_Note1!$F$16,1)),IF(B341&lt;code_Note1!$D$21,"No",IFERROR(VLOOKUP(C341,code_Note1!$D$3:$G$8,3,FALSE),""))))</f>
        <v>No</v>
      </c>
      <c r="P341" s="3" t="s">
        <v>831</v>
      </c>
    </row>
    <row r="342" spans="1:16" ht="19.5" customHeight="1">
      <c r="A342" s="2" t="s">
        <v>854</v>
      </c>
      <c r="B342" s="38">
        <v>45810</v>
      </c>
      <c r="C342" s="1">
        <v>2</v>
      </c>
      <c r="D342" s="1" t="s">
        <v>838</v>
      </c>
      <c r="E342" s="1" t="s">
        <v>25</v>
      </c>
      <c r="F342" s="8" t="s">
        <v>271</v>
      </c>
      <c r="G342" s="6">
        <v>1700000</v>
      </c>
      <c r="H342" s="6"/>
      <c r="I342" s="6"/>
      <c r="J342" s="7"/>
      <c r="K342" s="73"/>
      <c r="L342" s="73"/>
      <c r="M342" s="73"/>
      <c r="N342" s="73"/>
      <c r="O342" s="3" t="str">
        <f>IF(C342="","",IF(C342=5,IFERROR(INDEX(code_Note1!$F$13:$F$16,MATCH(E342,code_Note1!$E$13:$E$16,0)),INDEX(code_Note1!$F$16,1)),IF(B342&lt;code_Note1!$D$21,"No",IFERROR(VLOOKUP(C342,code_Note1!$D$3:$G$8,3,FALSE),""))))</f>
        <v>No</v>
      </c>
      <c r="P342" s="3" t="s">
        <v>831</v>
      </c>
    </row>
    <row r="343" spans="1:16" ht="19.5" customHeight="1">
      <c r="A343" s="2" t="s">
        <v>854</v>
      </c>
      <c r="B343" s="38">
        <v>45810</v>
      </c>
      <c r="C343" s="1">
        <v>1</v>
      </c>
      <c r="D343" s="1" t="s">
        <v>824</v>
      </c>
      <c r="E343" s="1" t="s">
        <v>332</v>
      </c>
      <c r="F343" s="8" t="s">
        <v>331</v>
      </c>
      <c r="G343" s="6">
        <v>2540000</v>
      </c>
      <c r="H343" s="6"/>
      <c r="I343" s="6"/>
      <c r="J343" s="7"/>
      <c r="K343" s="73"/>
      <c r="L343" s="73"/>
      <c r="M343" s="73"/>
      <c r="N343" s="73"/>
      <c r="O343" s="3" t="str">
        <f>IF(C343="","",IF(C343=5,IFERROR(INDEX(code_Note1!$F$13:$F$16,MATCH(E343,code_Note1!$E$13:$E$16,0)),INDEX(code_Note1!$F$16,1)),IF(B343&lt;code_Note1!$D$21,"No",IFERROR(VLOOKUP(C343,code_Note1!$D$3:$G$8,3,FALSE),""))))</f>
        <v>No</v>
      </c>
      <c r="P343" s="3" t="s">
        <v>832</v>
      </c>
    </row>
    <row r="344" spans="1:16" ht="19.5" customHeight="1">
      <c r="A344" s="2" t="s">
        <v>854</v>
      </c>
      <c r="B344" s="38">
        <v>45811</v>
      </c>
      <c r="C344" s="1">
        <v>3</v>
      </c>
      <c r="D344" s="1" t="s">
        <v>823</v>
      </c>
      <c r="E344" s="1" t="s">
        <v>12</v>
      </c>
      <c r="F344" s="8" t="s">
        <v>333</v>
      </c>
      <c r="G344" s="6">
        <v>327000</v>
      </c>
      <c r="H344" s="6"/>
      <c r="I344" s="6"/>
      <c r="J344" s="7"/>
      <c r="K344" s="73"/>
      <c r="L344" s="73"/>
      <c r="M344" s="73"/>
      <c r="N344" s="73"/>
      <c r="O344" s="3" t="str">
        <f>IF(C344="","",IF(C344=5,IFERROR(INDEX(code_Note1!$F$13:$F$16,MATCH(E344,code_Note1!$E$13:$E$16,0)),INDEX(code_Note1!$F$16,1)),IF(B344&lt;code_Note1!$D$21,"No",IFERROR(VLOOKUP(C344,code_Note1!$D$3:$G$8,3,FALSE),""))))</f>
        <v>No</v>
      </c>
      <c r="P344" s="3" t="s">
        <v>832</v>
      </c>
    </row>
    <row r="345" spans="1:16" ht="19.5" customHeight="1">
      <c r="A345" s="2" t="s">
        <v>854</v>
      </c>
      <c r="B345" s="38">
        <v>45812</v>
      </c>
      <c r="C345" s="1">
        <v>1</v>
      </c>
      <c r="D345" s="1" t="s">
        <v>824</v>
      </c>
      <c r="E345" s="1" t="s">
        <v>103</v>
      </c>
      <c r="F345" s="8" t="s">
        <v>334</v>
      </c>
      <c r="G345" s="6">
        <v>400000</v>
      </c>
      <c r="H345" s="6"/>
      <c r="I345" s="6"/>
      <c r="J345" s="7"/>
      <c r="K345" s="73"/>
      <c r="L345" s="73"/>
      <c r="M345" s="73"/>
      <c r="N345" s="73"/>
      <c r="O345" s="3" t="str">
        <f>IF(C345="","",IF(C345=5,IFERROR(INDEX(code_Note1!$F$13:$F$16,MATCH(E345,code_Note1!$E$13:$E$16,0)),INDEX(code_Note1!$F$16,1)),IF(B345&lt;code_Note1!$D$21,"No",IFERROR(VLOOKUP(C345,code_Note1!$D$3:$G$8,3,FALSE),""))))</f>
        <v>No</v>
      </c>
      <c r="P345" s="3" t="s">
        <v>832</v>
      </c>
    </row>
    <row r="346" spans="1:16" ht="19.5" customHeight="1">
      <c r="A346" s="2" t="s">
        <v>854</v>
      </c>
      <c r="B346" s="38">
        <v>45812</v>
      </c>
      <c r="C346" s="1">
        <v>2</v>
      </c>
      <c r="D346" s="1" t="s">
        <v>838</v>
      </c>
      <c r="E346" s="1" t="s">
        <v>21</v>
      </c>
      <c r="F346" s="8" t="s">
        <v>335</v>
      </c>
      <c r="G346" s="6">
        <v>1856000</v>
      </c>
      <c r="H346" s="6"/>
      <c r="I346" s="6"/>
      <c r="J346" s="7"/>
      <c r="K346" s="73"/>
      <c r="L346" s="73"/>
      <c r="M346" s="73"/>
      <c r="N346" s="73"/>
      <c r="O346" s="3" t="str">
        <f>IF(C346="","",IF(C346=5,IFERROR(INDEX(code_Note1!$F$13:$F$16,MATCH(E346,code_Note1!$E$13:$E$16,0)),INDEX(code_Note1!$F$16,1)),IF(B346&lt;code_Note1!$D$21,"No",IFERROR(VLOOKUP(C346,code_Note1!$D$3:$G$8,3,FALSE),""))))</f>
        <v>No</v>
      </c>
      <c r="P346" s="3" t="s">
        <v>831</v>
      </c>
    </row>
    <row r="347" spans="1:16" ht="19.5" customHeight="1">
      <c r="A347" s="2" t="s">
        <v>854</v>
      </c>
      <c r="B347" s="38">
        <v>45813</v>
      </c>
      <c r="C347" s="1">
        <v>3</v>
      </c>
      <c r="D347" s="1" t="s">
        <v>823</v>
      </c>
      <c r="E347" s="1" t="s">
        <v>147</v>
      </c>
      <c r="F347" s="8" t="s">
        <v>147</v>
      </c>
      <c r="G347" s="6">
        <v>730000</v>
      </c>
      <c r="H347" s="6"/>
      <c r="I347" s="6"/>
      <c r="J347" s="7"/>
      <c r="K347" s="73"/>
      <c r="L347" s="73"/>
      <c r="M347" s="73"/>
      <c r="N347" s="73"/>
      <c r="O347" s="3" t="str">
        <f>IF(C347="","",IF(C347=5,IFERROR(INDEX(code_Note1!$F$13:$F$16,MATCH(E347,code_Note1!$E$13:$E$16,0)),INDEX(code_Note1!$F$16,1)),IF(B347&lt;code_Note1!$D$21,"No",IFERROR(VLOOKUP(C347,code_Note1!$D$3:$G$8,3,FALSE),""))))</f>
        <v>No</v>
      </c>
      <c r="P347" s="3" t="s">
        <v>832</v>
      </c>
    </row>
    <row r="348" spans="1:16" ht="19.5" customHeight="1">
      <c r="A348" s="2" t="s">
        <v>854</v>
      </c>
      <c r="B348" s="38">
        <v>45815</v>
      </c>
      <c r="C348" s="1">
        <v>2</v>
      </c>
      <c r="D348" s="1" t="s">
        <v>838</v>
      </c>
      <c r="E348" s="1" t="s">
        <v>76</v>
      </c>
      <c r="F348" s="8" t="s">
        <v>336</v>
      </c>
      <c r="G348" s="6">
        <v>2750000</v>
      </c>
      <c r="H348" s="6"/>
      <c r="I348" s="6"/>
      <c r="J348" s="7"/>
      <c r="K348" s="73"/>
      <c r="L348" s="73"/>
      <c r="M348" s="73"/>
      <c r="N348" s="73"/>
      <c r="O348" s="3" t="str">
        <f>IF(C348="","",IF(C348=5,IFERROR(INDEX(code_Note1!$F$13:$F$16,MATCH(E348,code_Note1!$E$13:$E$16,0)),INDEX(code_Note1!$F$16,1)),IF(B348&lt;code_Note1!$D$21,"No",IFERROR(VLOOKUP(C348,code_Note1!$D$3:$G$8,3,FALSE),""))))</f>
        <v>No</v>
      </c>
      <c r="P348" s="3" t="s">
        <v>831</v>
      </c>
    </row>
    <row r="349" spans="1:16" ht="19.5" customHeight="1">
      <c r="A349" s="2" t="s">
        <v>854</v>
      </c>
      <c r="B349" s="38">
        <v>45815</v>
      </c>
      <c r="C349" s="1">
        <v>3</v>
      </c>
      <c r="D349" s="1" t="s">
        <v>823</v>
      </c>
      <c r="E349" s="1" t="s">
        <v>12</v>
      </c>
      <c r="F349" s="8" t="s">
        <v>337</v>
      </c>
      <c r="G349" s="6">
        <v>1610000</v>
      </c>
      <c r="H349" s="6"/>
      <c r="I349" s="6"/>
      <c r="J349" s="7"/>
      <c r="K349" s="73"/>
      <c r="L349" s="73"/>
      <c r="M349" s="73"/>
      <c r="N349" s="73"/>
      <c r="O349" s="3" t="str">
        <f>IF(C349="","",IF(C349=5,IFERROR(INDEX(code_Note1!$F$13:$F$16,MATCH(E349,code_Note1!$E$13:$E$16,0)),INDEX(code_Note1!$F$16,1)),IF(B349&lt;code_Note1!$D$21,"No",IFERROR(VLOOKUP(C349,code_Note1!$D$3:$G$8,3,FALSE),""))))</f>
        <v>No</v>
      </c>
      <c r="P349" s="3" t="s">
        <v>832</v>
      </c>
    </row>
    <row r="350" spans="1:16" ht="19.5" customHeight="1">
      <c r="A350" s="2" t="s">
        <v>854</v>
      </c>
      <c r="B350" s="38">
        <v>45815</v>
      </c>
      <c r="C350" s="1">
        <v>3</v>
      </c>
      <c r="D350" s="1" t="s">
        <v>823</v>
      </c>
      <c r="E350" s="1" t="s">
        <v>12</v>
      </c>
      <c r="F350" s="8" t="s">
        <v>338</v>
      </c>
      <c r="G350" s="6">
        <v>250000</v>
      </c>
      <c r="H350" s="6"/>
      <c r="I350" s="6"/>
      <c r="J350" s="7"/>
      <c r="K350" s="73"/>
      <c r="L350" s="73"/>
      <c r="M350" s="73"/>
      <c r="N350" s="73"/>
      <c r="O350" s="3" t="str">
        <f>IF(C350="","",IF(C350=5,IFERROR(INDEX(code_Note1!$F$13:$F$16,MATCH(E350,code_Note1!$E$13:$E$16,0)),INDEX(code_Note1!$F$16,1)),IF(B350&lt;code_Note1!$D$21,"No",IFERROR(VLOOKUP(C350,code_Note1!$D$3:$G$8,3,FALSE),""))))</f>
        <v>No</v>
      </c>
      <c r="P350" s="3" t="s">
        <v>832</v>
      </c>
    </row>
    <row r="351" spans="1:16" ht="19.5" customHeight="1">
      <c r="A351" s="2" t="s">
        <v>854</v>
      </c>
      <c r="B351" s="38">
        <v>45815</v>
      </c>
      <c r="C351" s="1">
        <v>3</v>
      </c>
      <c r="D351" s="1" t="s">
        <v>823</v>
      </c>
      <c r="E351" s="1" t="s">
        <v>12</v>
      </c>
      <c r="F351" s="8" t="s">
        <v>339</v>
      </c>
      <c r="G351" s="6">
        <v>500000</v>
      </c>
      <c r="H351" s="6"/>
      <c r="I351" s="6"/>
      <c r="J351" s="7"/>
      <c r="K351" s="73"/>
      <c r="L351" s="73"/>
      <c r="M351" s="73"/>
      <c r="N351" s="73"/>
      <c r="O351" s="3" t="str">
        <f>IF(C351="","",IF(C351=5,IFERROR(INDEX(code_Note1!$F$13:$F$16,MATCH(E351,code_Note1!$E$13:$E$16,0)),INDEX(code_Note1!$F$16,1)),IF(B351&lt;code_Note1!$D$21,"No",IFERROR(VLOOKUP(C351,code_Note1!$D$3:$G$8,3,FALSE),""))))</f>
        <v>No</v>
      </c>
      <c r="P351" s="3" t="s">
        <v>832</v>
      </c>
    </row>
    <row r="352" spans="1:16" ht="19.5" customHeight="1">
      <c r="A352" s="2" t="s">
        <v>854</v>
      </c>
      <c r="B352" s="38">
        <v>45815</v>
      </c>
      <c r="C352" s="1">
        <v>3</v>
      </c>
      <c r="D352" s="1" t="s">
        <v>823</v>
      </c>
      <c r="E352" s="1" t="s">
        <v>12</v>
      </c>
      <c r="F352" s="8" t="s">
        <v>340</v>
      </c>
      <c r="G352" s="6">
        <v>60000</v>
      </c>
      <c r="H352" s="6"/>
      <c r="I352" s="6"/>
      <c r="J352" s="7"/>
      <c r="K352" s="73"/>
      <c r="L352" s="73"/>
      <c r="M352" s="73"/>
      <c r="N352" s="73"/>
      <c r="O352" s="3" t="str">
        <f>IF(C352="","",IF(C352=5,IFERROR(INDEX(code_Note1!$F$13:$F$16,MATCH(E352,code_Note1!$E$13:$E$16,0)),INDEX(code_Note1!$F$16,1)),IF(B352&lt;code_Note1!$D$21,"No",IFERROR(VLOOKUP(C352,code_Note1!$D$3:$G$8,3,FALSE),""))))</f>
        <v>No</v>
      </c>
      <c r="P352" s="3" t="s">
        <v>832</v>
      </c>
    </row>
    <row r="353" spans="1:16" ht="19.5" customHeight="1">
      <c r="A353" s="2" t="s">
        <v>854</v>
      </c>
      <c r="B353" s="38">
        <v>45817</v>
      </c>
      <c r="C353" s="1">
        <v>1</v>
      </c>
      <c r="D353" s="1" t="s">
        <v>824</v>
      </c>
      <c r="E353" s="1" t="s">
        <v>56</v>
      </c>
      <c r="F353" s="8" t="s">
        <v>341</v>
      </c>
      <c r="G353" s="6">
        <v>1000000</v>
      </c>
      <c r="H353" s="6"/>
      <c r="I353" s="6"/>
      <c r="J353" s="7"/>
      <c r="K353" s="73"/>
      <c r="L353" s="73"/>
      <c r="M353" s="73"/>
      <c r="N353" s="73"/>
      <c r="O353" s="3" t="str">
        <f>IF(C353="","",IF(C353=5,IFERROR(INDEX(code_Note1!$F$13:$F$16,MATCH(E353,code_Note1!$E$13:$E$16,0)),INDEX(code_Note1!$F$16,1)),IF(B353&lt;code_Note1!$D$21,"No",IFERROR(VLOOKUP(C353,code_Note1!$D$3:$G$8,3,FALSE),""))))</f>
        <v>No</v>
      </c>
      <c r="P353" s="3" t="s">
        <v>832</v>
      </c>
    </row>
    <row r="354" spans="1:16" ht="19.5" customHeight="1">
      <c r="A354" s="2" t="s">
        <v>854</v>
      </c>
      <c r="B354" s="38">
        <v>45817</v>
      </c>
      <c r="C354" s="1">
        <v>2</v>
      </c>
      <c r="D354" s="1" t="s">
        <v>838</v>
      </c>
      <c r="E354" s="1" t="s">
        <v>21</v>
      </c>
      <c r="F354" s="8" t="s">
        <v>153</v>
      </c>
      <c r="G354" s="6">
        <v>900000</v>
      </c>
      <c r="H354" s="6"/>
      <c r="I354" s="6"/>
      <c r="J354" s="7"/>
      <c r="K354" s="73"/>
      <c r="L354" s="73"/>
      <c r="M354" s="73"/>
      <c r="N354" s="73"/>
      <c r="O354" s="3" t="str">
        <f>IF(C354="","",IF(C354=5,IFERROR(INDEX(code_Note1!$F$13:$F$16,MATCH(E354,code_Note1!$E$13:$E$16,0)),INDEX(code_Note1!$F$16,1)),IF(B354&lt;code_Note1!$D$21,"No",IFERROR(VLOOKUP(C354,code_Note1!$D$3:$G$8,3,FALSE),""))))</f>
        <v>No</v>
      </c>
      <c r="P354" s="3" t="s">
        <v>831</v>
      </c>
    </row>
    <row r="355" spans="1:16" ht="19.5" customHeight="1">
      <c r="A355" s="2" t="s">
        <v>854</v>
      </c>
      <c r="B355" s="38">
        <v>45817</v>
      </c>
      <c r="C355" s="1">
        <v>2</v>
      </c>
      <c r="D355" s="1" t="s">
        <v>838</v>
      </c>
      <c r="E355" s="1" t="s">
        <v>46</v>
      </c>
      <c r="F355" s="8" t="s">
        <v>342</v>
      </c>
      <c r="G355" s="6">
        <v>4160000</v>
      </c>
      <c r="H355" s="6"/>
      <c r="I355" s="6"/>
      <c r="J355" s="7"/>
      <c r="K355" s="73"/>
      <c r="L355" s="73"/>
      <c r="M355" s="73"/>
      <c r="N355" s="73"/>
      <c r="O355" s="3" t="str">
        <f>IF(C355="","",IF(C355=5,IFERROR(INDEX(code_Note1!$F$13:$F$16,MATCH(E355,code_Note1!$E$13:$E$16,0)),INDEX(code_Note1!$F$16,1)),IF(B355&lt;code_Note1!$D$21,"No",IFERROR(VLOOKUP(C355,code_Note1!$D$3:$G$8,3,FALSE),""))))</f>
        <v>No</v>
      </c>
      <c r="P355" s="3" t="s">
        <v>831</v>
      </c>
    </row>
    <row r="356" spans="1:16" ht="19.5" customHeight="1">
      <c r="A356" s="2" t="s">
        <v>854</v>
      </c>
      <c r="B356" s="38">
        <v>45817</v>
      </c>
      <c r="C356" s="1">
        <v>2</v>
      </c>
      <c r="D356" s="1" t="s">
        <v>838</v>
      </c>
      <c r="E356" s="1" t="s">
        <v>166</v>
      </c>
      <c r="F356" s="8" t="s">
        <v>298</v>
      </c>
      <c r="G356" s="6">
        <v>2000000</v>
      </c>
      <c r="H356" s="6"/>
      <c r="I356" s="6"/>
      <c r="J356" s="7"/>
      <c r="K356" s="73"/>
      <c r="L356" s="73"/>
      <c r="M356" s="73"/>
      <c r="N356" s="73"/>
      <c r="O356" s="3" t="str">
        <f>IF(C356="","",IF(C356=5,IFERROR(INDEX(code_Note1!$F$13:$F$16,MATCH(E356,code_Note1!$E$13:$E$16,0)),INDEX(code_Note1!$F$16,1)),IF(B356&lt;code_Note1!$D$21,"No",IFERROR(VLOOKUP(C356,code_Note1!$D$3:$G$8,3,FALSE),""))))</f>
        <v>No</v>
      </c>
      <c r="P356" s="3" t="s">
        <v>831</v>
      </c>
    </row>
    <row r="357" spans="1:16" ht="19.5" customHeight="1">
      <c r="A357" s="2" t="s">
        <v>854</v>
      </c>
      <c r="B357" s="38">
        <v>45819</v>
      </c>
      <c r="C357" s="1">
        <v>2</v>
      </c>
      <c r="D357" s="1" t="s">
        <v>838</v>
      </c>
      <c r="E357" s="1" t="s">
        <v>46</v>
      </c>
      <c r="F357" s="8" t="s">
        <v>343</v>
      </c>
      <c r="G357" s="6">
        <v>1600000</v>
      </c>
      <c r="H357" s="6"/>
      <c r="I357" s="6"/>
      <c r="J357" s="7"/>
      <c r="K357" s="73"/>
      <c r="L357" s="73"/>
      <c r="M357" s="73"/>
      <c r="N357" s="73"/>
      <c r="O357" s="3" t="str">
        <f>IF(C357="","",IF(C357=5,IFERROR(INDEX(code_Note1!$F$13:$F$16,MATCH(E357,code_Note1!$E$13:$E$16,0)),INDEX(code_Note1!$F$16,1)),IF(B357&lt;code_Note1!$D$21,"No",IFERROR(VLOOKUP(C357,code_Note1!$D$3:$G$8,3,FALSE),""))))</f>
        <v>No</v>
      </c>
      <c r="P357" s="3" t="s">
        <v>831</v>
      </c>
    </row>
    <row r="358" spans="1:16" ht="19.5" customHeight="1">
      <c r="A358" s="2" t="s">
        <v>854</v>
      </c>
      <c r="B358" s="38">
        <v>45819</v>
      </c>
      <c r="C358" s="1">
        <v>2</v>
      </c>
      <c r="D358" s="1" t="s">
        <v>838</v>
      </c>
      <c r="E358" s="1" t="s">
        <v>42</v>
      </c>
      <c r="F358" s="8" t="s">
        <v>42</v>
      </c>
      <c r="G358" s="6">
        <v>3200000</v>
      </c>
      <c r="H358" s="6"/>
      <c r="I358" s="6"/>
      <c r="J358" s="7"/>
      <c r="K358" s="73"/>
      <c r="L358" s="73"/>
      <c r="M358" s="73"/>
      <c r="N358" s="73"/>
      <c r="O358" s="3" t="str">
        <f>IF(C358="","",IF(C358=5,IFERROR(INDEX(code_Note1!$F$13:$F$16,MATCH(E358,code_Note1!$E$13:$E$16,0)),INDEX(code_Note1!$F$16,1)),IF(B358&lt;code_Note1!$D$21,"No",IFERROR(VLOOKUP(C358,code_Note1!$D$3:$G$8,3,FALSE),""))))</f>
        <v>No</v>
      </c>
      <c r="P358" s="3" t="s">
        <v>831</v>
      </c>
    </row>
    <row r="359" spans="1:16" ht="19.5" customHeight="1">
      <c r="A359" s="2" t="s">
        <v>854</v>
      </c>
      <c r="B359" s="38">
        <v>45819</v>
      </c>
      <c r="C359" s="1">
        <v>2</v>
      </c>
      <c r="D359" s="1" t="s">
        <v>838</v>
      </c>
      <c r="E359" s="1" t="s">
        <v>21</v>
      </c>
      <c r="F359" s="8" t="s">
        <v>344</v>
      </c>
      <c r="G359" s="6">
        <v>12750000</v>
      </c>
      <c r="H359" s="6"/>
      <c r="I359" s="6"/>
      <c r="J359" s="7"/>
      <c r="K359" s="73"/>
      <c r="L359" s="73"/>
      <c r="M359" s="73"/>
      <c r="N359" s="73"/>
      <c r="O359" s="3" t="str">
        <f>IF(C359="","",IF(C359=5,IFERROR(INDEX(code_Note1!$F$13:$F$16,MATCH(E359,code_Note1!$E$13:$E$16,0)),INDEX(code_Note1!$F$16,1)),IF(B359&lt;code_Note1!$D$21,"No",IFERROR(VLOOKUP(C359,code_Note1!$D$3:$G$8,3,FALSE),""))))</f>
        <v>No</v>
      </c>
      <c r="P359" s="3" t="s">
        <v>831</v>
      </c>
    </row>
    <row r="360" spans="1:16" ht="19.5" customHeight="1">
      <c r="A360" s="2" t="s">
        <v>854</v>
      </c>
      <c r="B360" s="38">
        <v>45820</v>
      </c>
      <c r="C360" s="1">
        <v>2</v>
      </c>
      <c r="D360" s="1" t="s">
        <v>838</v>
      </c>
      <c r="E360" s="1" t="s">
        <v>34</v>
      </c>
      <c r="F360" s="8" t="s">
        <v>34</v>
      </c>
      <c r="G360" s="6">
        <v>13320000</v>
      </c>
      <c r="H360" s="6"/>
      <c r="I360" s="6"/>
      <c r="J360" s="7"/>
      <c r="K360" s="73"/>
      <c r="L360" s="73"/>
      <c r="M360" s="73"/>
      <c r="N360" s="73"/>
      <c r="O360" s="3" t="str">
        <f>IF(C360="","",IF(C360=5,IFERROR(INDEX(code_Note1!$F$13:$F$16,MATCH(E360,code_Note1!$E$13:$E$16,0)),INDEX(code_Note1!$F$16,1)),IF(B360&lt;code_Note1!$D$21,"No",IFERROR(VLOOKUP(C360,code_Note1!$D$3:$G$8,3,FALSE),""))))</f>
        <v>No</v>
      </c>
      <c r="P360" s="3" t="s">
        <v>831</v>
      </c>
    </row>
    <row r="361" spans="1:16" ht="19.5" customHeight="1">
      <c r="A361" s="2" t="s">
        <v>854</v>
      </c>
      <c r="B361" s="38">
        <v>45820</v>
      </c>
      <c r="C361" s="1">
        <v>2</v>
      </c>
      <c r="D361" s="1" t="s">
        <v>838</v>
      </c>
      <c r="E361" s="1" t="s">
        <v>46</v>
      </c>
      <c r="F361" s="8" t="s">
        <v>324</v>
      </c>
      <c r="G361" s="6">
        <v>1700000</v>
      </c>
      <c r="H361" s="6"/>
      <c r="I361" s="6"/>
      <c r="J361" s="7"/>
      <c r="K361" s="73"/>
      <c r="L361" s="73"/>
      <c r="M361" s="73"/>
      <c r="N361" s="73"/>
      <c r="O361" s="3" t="str">
        <f>IF(C361="","",IF(C361=5,IFERROR(INDEX(code_Note1!$F$13:$F$16,MATCH(E361,code_Note1!$E$13:$E$16,0)),INDEX(code_Note1!$F$16,1)),IF(B361&lt;code_Note1!$D$21,"No",IFERROR(VLOOKUP(C361,code_Note1!$D$3:$G$8,3,FALSE),""))))</f>
        <v>No</v>
      </c>
      <c r="P361" s="3" t="s">
        <v>831</v>
      </c>
    </row>
    <row r="362" spans="1:16" ht="19.5" customHeight="1">
      <c r="A362" s="2" t="s">
        <v>854</v>
      </c>
      <c r="B362" s="38">
        <v>45821</v>
      </c>
      <c r="C362" s="1">
        <v>3</v>
      </c>
      <c r="D362" s="1" t="s">
        <v>823</v>
      </c>
      <c r="E362" s="1" t="s">
        <v>12</v>
      </c>
      <c r="F362" s="8" t="s">
        <v>12</v>
      </c>
      <c r="G362" s="6">
        <v>540000</v>
      </c>
      <c r="H362" s="6"/>
      <c r="I362" s="6"/>
      <c r="J362" s="7"/>
      <c r="K362" s="73"/>
      <c r="L362" s="73"/>
      <c r="M362" s="73"/>
      <c r="N362" s="73"/>
      <c r="O362" s="3" t="str">
        <f>IF(C362="","",IF(C362=5,IFERROR(INDEX(code_Note1!$F$13:$F$16,MATCH(E362,code_Note1!$E$13:$E$16,0)),INDEX(code_Note1!$F$16,1)),IF(B362&lt;code_Note1!$D$21,"No",IFERROR(VLOOKUP(C362,code_Note1!$D$3:$G$8,3,FALSE),""))))</f>
        <v>No</v>
      </c>
      <c r="P362" s="3" t="s">
        <v>832</v>
      </c>
    </row>
    <row r="363" spans="1:16" ht="19.5" customHeight="1">
      <c r="A363" s="2" t="s">
        <v>854</v>
      </c>
      <c r="B363" s="38">
        <v>45821</v>
      </c>
      <c r="C363" s="1">
        <v>3</v>
      </c>
      <c r="D363" s="1" t="s">
        <v>823</v>
      </c>
      <c r="E363" s="1" t="s">
        <v>12</v>
      </c>
      <c r="F363" s="8" t="s">
        <v>12</v>
      </c>
      <c r="G363" s="6">
        <v>268000</v>
      </c>
      <c r="H363" s="6"/>
      <c r="I363" s="6"/>
      <c r="J363" s="7"/>
      <c r="K363" s="73"/>
      <c r="L363" s="73"/>
      <c r="M363" s="73"/>
      <c r="N363" s="73"/>
      <c r="O363" s="3" t="str">
        <f>IF(C363="","",IF(C363=5,IFERROR(INDEX(code_Note1!$F$13:$F$16,MATCH(E363,code_Note1!$E$13:$E$16,0)),INDEX(code_Note1!$F$16,1)),IF(B363&lt;code_Note1!$D$21,"No",IFERROR(VLOOKUP(C363,code_Note1!$D$3:$G$8,3,FALSE),""))))</f>
        <v>No</v>
      </c>
      <c r="P363" s="3" t="s">
        <v>832</v>
      </c>
    </row>
    <row r="364" spans="1:16" ht="19.5" customHeight="1">
      <c r="A364" s="2" t="s">
        <v>854</v>
      </c>
      <c r="B364" s="38">
        <v>45822</v>
      </c>
      <c r="C364" s="1">
        <v>2</v>
      </c>
      <c r="D364" s="1" t="s">
        <v>838</v>
      </c>
      <c r="E364" s="1" t="s">
        <v>21</v>
      </c>
      <c r="F364" s="8" t="s">
        <v>345</v>
      </c>
      <c r="G364" s="6">
        <v>45000</v>
      </c>
      <c r="H364" s="6"/>
      <c r="I364" s="6"/>
      <c r="J364" s="7"/>
      <c r="K364" s="73"/>
      <c r="L364" s="73"/>
      <c r="M364" s="73"/>
      <c r="N364" s="73"/>
      <c r="O364" s="3" t="str">
        <f>IF(C364="","",IF(C364=5,IFERROR(INDEX(code_Note1!$F$13:$F$16,MATCH(E364,code_Note1!$E$13:$E$16,0)),INDEX(code_Note1!$F$16,1)),IF(B364&lt;code_Note1!$D$21,"No",IFERROR(VLOOKUP(C364,code_Note1!$D$3:$G$8,3,FALSE),""))))</f>
        <v>No</v>
      </c>
      <c r="P364" s="3" t="s">
        <v>831</v>
      </c>
    </row>
    <row r="365" spans="1:16" ht="19.5" customHeight="1">
      <c r="A365" s="2" t="s">
        <v>854</v>
      </c>
      <c r="B365" s="38">
        <v>45824</v>
      </c>
      <c r="C365" s="1">
        <v>3</v>
      </c>
      <c r="D365" s="1" t="s">
        <v>823</v>
      </c>
      <c r="E365" s="1" t="s">
        <v>44</v>
      </c>
      <c r="F365" s="8" t="s">
        <v>346</v>
      </c>
      <c r="G365" s="6">
        <v>216000</v>
      </c>
      <c r="H365" s="6"/>
      <c r="I365" s="6"/>
      <c r="J365" s="7"/>
      <c r="K365" s="73"/>
      <c r="L365" s="73"/>
      <c r="M365" s="73"/>
      <c r="N365" s="73"/>
      <c r="O365" s="3" t="str">
        <f>IF(C365="","",IF(C365=5,IFERROR(INDEX(code_Note1!$F$13:$F$16,MATCH(E365,code_Note1!$E$13:$E$16,0)),INDEX(code_Note1!$F$16,1)),IF(B365&lt;code_Note1!$D$21,"No",IFERROR(VLOOKUP(C365,code_Note1!$D$3:$G$8,3,FALSE),""))))</f>
        <v>No</v>
      </c>
      <c r="P365" s="3" t="s">
        <v>832</v>
      </c>
    </row>
    <row r="366" spans="1:16" ht="19.5" customHeight="1">
      <c r="A366" s="2" t="s">
        <v>854</v>
      </c>
      <c r="B366" s="38">
        <v>45824</v>
      </c>
      <c r="C366" s="1">
        <v>2</v>
      </c>
      <c r="D366" s="1" t="s">
        <v>838</v>
      </c>
      <c r="E366" s="1" t="s">
        <v>46</v>
      </c>
      <c r="F366" s="8" t="s">
        <v>347</v>
      </c>
      <c r="G366" s="6">
        <v>520000</v>
      </c>
      <c r="H366" s="6"/>
      <c r="I366" s="6"/>
      <c r="J366" s="7"/>
      <c r="K366" s="73"/>
      <c r="L366" s="73"/>
      <c r="M366" s="73"/>
      <c r="N366" s="73"/>
      <c r="O366" s="3" t="str">
        <f>IF(C366="","",IF(C366=5,IFERROR(INDEX(code_Note1!$F$13:$F$16,MATCH(E366,code_Note1!$E$13:$E$16,0)),INDEX(code_Note1!$F$16,1)),IF(B366&lt;code_Note1!$D$21,"No",IFERROR(VLOOKUP(C366,code_Note1!$D$3:$G$8,3,FALSE),""))))</f>
        <v>No</v>
      </c>
      <c r="P366" s="3" t="s">
        <v>831</v>
      </c>
    </row>
    <row r="367" spans="1:16" ht="19.5" customHeight="1">
      <c r="A367" s="2" t="s">
        <v>854</v>
      </c>
      <c r="B367" s="38">
        <v>45825</v>
      </c>
      <c r="C367" s="1">
        <v>3</v>
      </c>
      <c r="D367" s="1" t="s">
        <v>823</v>
      </c>
      <c r="E367" s="1" t="s">
        <v>147</v>
      </c>
      <c r="F367" s="8" t="s">
        <v>348</v>
      </c>
      <c r="G367" s="6">
        <v>600000</v>
      </c>
      <c r="H367" s="6"/>
      <c r="I367" s="6"/>
      <c r="J367" s="7"/>
      <c r="K367" s="73"/>
      <c r="L367" s="73"/>
      <c r="M367" s="73"/>
      <c r="N367" s="73"/>
      <c r="O367" s="3" t="str">
        <f>IF(C367="","",IF(C367=5,IFERROR(INDEX(code_Note1!$F$13:$F$16,MATCH(E367,code_Note1!$E$13:$E$16,0)),INDEX(code_Note1!$F$16,1)),IF(B367&lt;code_Note1!$D$21,"No",IFERROR(VLOOKUP(C367,code_Note1!$D$3:$G$8,3,FALSE),""))))</f>
        <v>No</v>
      </c>
      <c r="P367" s="3" t="s">
        <v>832</v>
      </c>
    </row>
    <row r="368" spans="1:16" ht="19.5" customHeight="1">
      <c r="A368" s="2" t="s">
        <v>854</v>
      </c>
      <c r="B368" s="38">
        <v>45825</v>
      </c>
      <c r="C368" s="1">
        <v>3</v>
      </c>
      <c r="D368" s="1" t="s">
        <v>823</v>
      </c>
      <c r="E368" s="1" t="s">
        <v>147</v>
      </c>
      <c r="F368" s="8" t="s">
        <v>209</v>
      </c>
      <c r="G368" s="6">
        <v>580000</v>
      </c>
      <c r="H368" s="6"/>
      <c r="I368" s="6"/>
      <c r="J368" s="7"/>
      <c r="K368" s="73"/>
      <c r="L368" s="73"/>
      <c r="M368" s="73"/>
      <c r="N368" s="73"/>
      <c r="O368" s="3" t="str">
        <f>IF(C368="","",IF(C368=5,IFERROR(INDEX(code_Note1!$F$13:$F$16,MATCH(E368,code_Note1!$E$13:$E$16,0)),INDEX(code_Note1!$F$16,1)),IF(B368&lt;code_Note1!$D$21,"No",IFERROR(VLOOKUP(C368,code_Note1!$D$3:$G$8,3,FALSE),""))))</f>
        <v>No</v>
      </c>
      <c r="P368" s="3" t="s">
        <v>832</v>
      </c>
    </row>
    <row r="369" spans="1:16" ht="19.5" customHeight="1">
      <c r="A369" s="2" t="s">
        <v>854</v>
      </c>
      <c r="B369" s="38">
        <v>45825</v>
      </c>
      <c r="C369" s="1">
        <v>3</v>
      </c>
      <c r="D369" s="1" t="s">
        <v>823</v>
      </c>
      <c r="E369" s="1" t="s">
        <v>12</v>
      </c>
      <c r="F369" s="8" t="s">
        <v>349</v>
      </c>
      <c r="G369" s="6">
        <v>20000</v>
      </c>
      <c r="H369" s="6"/>
      <c r="I369" s="6"/>
      <c r="J369" s="7"/>
      <c r="K369" s="73"/>
      <c r="L369" s="73"/>
      <c r="M369" s="73"/>
      <c r="N369" s="73"/>
      <c r="O369" s="3" t="str">
        <f>IF(C369="","",IF(C369=5,IFERROR(INDEX(code_Note1!$F$13:$F$16,MATCH(E369,code_Note1!$E$13:$E$16,0)),INDEX(code_Note1!$F$16,1)),IF(B369&lt;code_Note1!$D$21,"No",IFERROR(VLOOKUP(C369,code_Note1!$D$3:$G$8,3,FALSE),""))))</f>
        <v>No</v>
      </c>
      <c r="P369" s="3" t="s">
        <v>832</v>
      </c>
    </row>
    <row r="370" spans="1:16" ht="19.5" customHeight="1">
      <c r="A370" s="2" t="s">
        <v>854</v>
      </c>
      <c r="B370" s="38">
        <v>45825</v>
      </c>
      <c r="C370" s="1">
        <v>3</v>
      </c>
      <c r="D370" s="1" t="s">
        <v>823</v>
      </c>
      <c r="E370" s="1" t="s">
        <v>12</v>
      </c>
      <c r="F370" s="8" t="s">
        <v>350</v>
      </c>
      <c r="G370" s="6">
        <v>1200000</v>
      </c>
      <c r="H370" s="6"/>
      <c r="I370" s="6"/>
      <c r="J370" s="7"/>
      <c r="K370" s="73"/>
      <c r="L370" s="73"/>
      <c r="M370" s="73"/>
      <c r="N370" s="73"/>
      <c r="O370" s="3" t="str">
        <f>IF(C370="","",IF(C370=5,IFERROR(INDEX(code_Note1!$F$13:$F$16,MATCH(E370,code_Note1!$E$13:$E$16,0)),INDEX(code_Note1!$F$16,1)),IF(B370&lt;code_Note1!$D$21,"No",IFERROR(VLOOKUP(C370,code_Note1!$D$3:$G$8,3,FALSE),""))))</f>
        <v>No</v>
      </c>
      <c r="P370" s="3" t="s">
        <v>832</v>
      </c>
    </row>
    <row r="371" spans="1:16" ht="19.5" customHeight="1">
      <c r="A371" s="2" t="s">
        <v>854</v>
      </c>
      <c r="B371" s="38">
        <v>45825</v>
      </c>
      <c r="C371" s="1">
        <v>3</v>
      </c>
      <c r="D371" s="1" t="s">
        <v>823</v>
      </c>
      <c r="E371" s="1" t="s">
        <v>12</v>
      </c>
      <c r="F371" s="8" t="s">
        <v>118</v>
      </c>
      <c r="G371" s="6">
        <v>116000</v>
      </c>
      <c r="H371" s="6"/>
      <c r="I371" s="6"/>
      <c r="J371" s="7"/>
      <c r="K371" s="73"/>
      <c r="L371" s="73"/>
      <c r="M371" s="73"/>
      <c r="N371" s="73"/>
      <c r="O371" s="3" t="str">
        <f>IF(C371="","",IF(C371=5,IFERROR(INDEX(code_Note1!$F$13:$F$16,MATCH(E371,code_Note1!$E$13:$E$16,0)),INDEX(code_Note1!$F$16,1)),IF(B371&lt;code_Note1!$D$21,"No",IFERROR(VLOOKUP(C371,code_Note1!$D$3:$G$8,3,FALSE),""))))</f>
        <v>No</v>
      </c>
      <c r="P371" s="3" t="s">
        <v>832</v>
      </c>
    </row>
    <row r="372" spans="1:16" ht="19.5" customHeight="1">
      <c r="A372" s="2" t="s">
        <v>854</v>
      </c>
      <c r="B372" s="38">
        <v>45827</v>
      </c>
      <c r="C372" s="1">
        <v>3</v>
      </c>
      <c r="D372" s="1" t="s">
        <v>823</v>
      </c>
      <c r="E372" s="1" t="s">
        <v>12</v>
      </c>
      <c r="F372" s="8" t="s">
        <v>340</v>
      </c>
      <c r="G372" s="6">
        <v>100000</v>
      </c>
      <c r="H372" s="6"/>
      <c r="I372" s="6"/>
      <c r="J372" s="7"/>
      <c r="K372" s="73"/>
      <c r="L372" s="73"/>
      <c r="M372" s="73"/>
      <c r="N372" s="73"/>
      <c r="O372" s="3" t="str">
        <f>IF(C372="","",IF(C372=5,IFERROR(INDEX(code_Note1!$F$13:$F$16,MATCH(E372,code_Note1!$E$13:$E$16,0)),INDEX(code_Note1!$F$16,1)),IF(B372&lt;code_Note1!$D$21,"No",IFERROR(VLOOKUP(C372,code_Note1!$D$3:$G$8,3,FALSE),""))))</f>
        <v>No</v>
      </c>
      <c r="P372" s="3" t="s">
        <v>832</v>
      </c>
    </row>
    <row r="373" spans="1:16" ht="19.5" customHeight="1">
      <c r="A373" s="2" t="s">
        <v>854</v>
      </c>
      <c r="B373" s="38">
        <v>45829</v>
      </c>
      <c r="C373" s="1">
        <v>2</v>
      </c>
      <c r="D373" s="1" t="s">
        <v>838</v>
      </c>
      <c r="E373" s="1" t="s">
        <v>46</v>
      </c>
      <c r="F373" s="8" t="s">
        <v>130</v>
      </c>
      <c r="G373" s="6">
        <v>400000</v>
      </c>
      <c r="H373" s="6"/>
      <c r="I373" s="6"/>
      <c r="J373" s="7"/>
      <c r="K373" s="73"/>
      <c r="L373" s="73"/>
      <c r="M373" s="73"/>
      <c r="N373" s="73"/>
      <c r="O373" s="3" t="str">
        <f>IF(C373="","",IF(C373=5,IFERROR(INDEX(code_Note1!$F$13:$F$16,MATCH(E373,code_Note1!$E$13:$E$16,0)),INDEX(code_Note1!$F$16,1)),IF(B373&lt;code_Note1!$D$21,"No",IFERROR(VLOOKUP(C373,code_Note1!$D$3:$G$8,3,FALSE),""))))</f>
        <v>No</v>
      </c>
      <c r="P373" s="3" t="s">
        <v>831</v>
      </c>
    </row>
    <row r="374" spans="1:16" ht="19.5" customHeight="1">
      <c r="A374" s="2" t="s">
        <v>854</v>
      </c>
      <c r="B374" s="38">
        <v>45830</v>
      </c>
      <c r="C374" s="1">
        <v>2</v>
      </c>
      <c r="D374" s="1" t="s">
        <v>838</v>
      </c>
      <c r="E374" s="1" t="s">
        <v>42</v>
      </c>
      <c r="F374" s="8" t="s">
        <v>42</v>
      </c>
      <c r="G374" s="6">
        <v>3200000</v>
      </c>
      <c r="H374" s="6"/>
      <c r="I374" s="6"/>
      <c r="J374" s="7"/>
      <c r="K374" s="73"/>
      <c r="L374" s="73"/>
      <c r="M374" s="73"/>
      <c r="N374" s="73"/>
      <c r="O374" s="3" t="str">
        <f>IF(C374="","",IF(C374=5,IFERROR(INDEX(code_Note1!$F$13:$F$16,MATCH(E374,code_Note1!$E$13:$E$16,0)),INDEX(code_Note1!$F$16,1)),IF(B374&lt;code_Note1!$D$21,"No",IFERROR(VLOOKUP(C374,code_Note1!$D$3:$G$8,3,FALSE),""))))</f>
        <v>No</v>
      </c>
      <c r="P374" s="3" t="s">
        <v>831</v>
      </c>
    </row>
    <row r="375" spans="1:16" ht="19.5" customHeight="1">
      <c r="A375" s="2" t="s">
        <v>854</v>
      </c>
      <c r="B375" s="38">
        <v>45831</v>
      </c>
      <c r="C375" s="1">
        <v>3</v>
      </c>
      <c r="D375" s="1" t="s">
        <v>823</v>
      </c>
      <c r="E375" s="1" t="s">
        <v>12</v>
      </c>
      <c r="F375" s="8" t="s">
        <v>351</v>
      </c>
      <c r="G375" s="6">
        <v>290000</v>
      </c>
      <c r="H375" s="6"/>
      <c r="I375" s="6"/>
      <c r="J375" s="7"/>
      <c r="K375" s="73"/>
      <c r="L375" s="73"/>
      <c r="M375" s="73"/>
      <c r="N375" s="73"/>
      <c r="O375" s="3" t="str">
        <f>IF(C375="","",IF(C375=5,IFERROR(INDEX(code_Note1!$F$13:$F$16,MATCH(E375,code_Note1!$E$13:$E$16,0)),INDEX(code_Note1!$F$16,1)),IF(B375&lt;code_Note1!$D$21,"No",IFERROR(VLOOKUP(C375,code_Note1!$D$3:$G$8,3,FALSE),""))))</f>
        <v>No</v>
      </c>
      <c r="P375" s="3" t="s">
        <v>832</v>
      </c>
    </row>
    <row r="376" spans="1:16" ht="19.5" customHeight="1">
      <c r="A376" s="2" t="s">
        <v>854</v>
      </c>
      <c r="B376" s="38">
        <v>45831</v>
      </c>
      <c r="C376" s="1">
        <v>2</v>
      </c>
      <c r="D376" s="1" t="s">
        <v>838</v>
      </c>
      <c r="E376" s="1" t="s">
        <v>34</v>
      </c>
      <c r="F376" s="8" t="s">
        <v>352</v>
      </c>
      <c r="G376" s="6">
        <v>17446000</v>
      </c>
      <c r="H376" s="6"/>
      <c r="I376" s="6"/>
      <c r="J376" s="7"/>
      <c r="K376" s="73"/>
      <c r="L376" s="73"/>
      <c r="M376" s="73"/>
      <c r="N376" s="73"/>
      <c r="O376" s="3" t="str">
        <f>IF(C376="","",IF(C376=5,IFERROR(INDEX(code_Note1!$F$13:$F$16,MATCH(E376,code_Note1!$E$13:$E$16,0)),INDEX(code_Note1!$F$16,1)),IF(B376&lt;code_Note1!$D$21,"No",IFERROR(VLOOKUP(C376,code_Note1!$D$3:$G$8,3,FALSE),""))))</f>
        <v>No</v>
      </c>
      <c r="P376" s="3" t="s">
        <v>831</v>
      </c>
    </row>
    <row r="377" spans="1:16" ht="19.5" customHeight="1">
      <c r="A377" s="2" t="s">
        <v>854</v>
      </c>
      <c r="B377" s="38">
        <v>45831</v>
      </c>
      <c r="C377" s="1">
        <v>3</v>
      </c>
      <c r="D377" s="1" t="s">
        <v>823</v>
      </c>
      <c r="E377" s="1" t="s">
        <v>44</v>
      </c>
      <c r="F377" s="8" t="s">
        <v>353</v>
      </c>
      <c r="G377" s="6">
        <v>126000</v>
      </c>
      <c r="H377" s="6"/>
      <c r="I377" s="6"/>
      <c r="J377" s="7"/>
      <c r="K377" s="73"/>
      <c r="L377" s="73"/>
      <c r="M377" s="73"/>
      <c r="N377" s="73"/>
      <c r="O377" s="3" t="str">
        <f>IF(C377="","",IF(C377=5,IFERROR(INDEX(code_Note1!$F$13:$F$16,MATCH(E377,code_Note1!$E$13:$E$16,0)),INDEX(code_Note1!$F$16,1)),IF(B377&lt;code_Note1!$D$21,"No",IFERROR(VLOOKUP(C377,code_Note1!$D$3:$G$8,3,FALSE),""))))</f>
        <v>No</v>
      </c>
      <c r="P377" s="3" t="s">
        <v>832</v>
      </c>
    </row>
    <row r="378" spans="1:16" ht="19.5" customHeight="1">
      <c r="A378" s="2" t="s">
        <v>854</v>
      </c>
      <c r="B378" s="38">
        <v>45831</v>
      </c>
      <c r="C378" s="1">
        <v>2</v>
      </c>
      <c r="D378" s="1" t="s">
        <v>838</v>
      </c>
      <c r="E378" s="1" t="s">
        <v>355</v>
      </c>
      <c r="F378" s="8" t="s">
        <v>354</v>
      </c>
      <c r="G378" s="6">
        <v>100000</v>
      </c>
      <c r="H378" s="6"/>
      <c r="I378" s="6"/>
      <c r="J378" s="7"/>
      <c r="K378" s="73"/>
      <c r="L378" s="73"/>
      <c r="M378" s="73"/>
      <c r="N378" s="73"/>
      <c r="O378" s="3" t="str">
        <f>IF(C378="","",IF(C378=5,IFERROR(INDEX(code_Note1!$F$13:$F$16,MATCH(E378,code_Note1!$E$13:$E$16,0)),INDEX(code_Note1!$F$16,1)),IF(B378&lt;code_Note1!$D$21,"No",IFERROR(VLOOKUP(C378,code_Note1!$D$3:$G$8,3,FALSE),""))))</f>
        <v>No</v>
      </c>
      <c r="P378" s="3" t="s">
        <v>831</v>
      </c>
    </row>
    <row r="379" spans="1:16" ht="19.5" customHeight="1">
      <c r="A379" s="2" t="s">
        <v>854</v>
      </c>
      <c r="B379" s="38">
        <v>45832</v>
      </c>
      <c r="C379" s="1">
        <v>3</v>
      </c>
      <c r="D379" s="1" t="s">
        <v>823</v>
      </c>
      <c r="E379" s="1" t="s">
        <v>12</v>
      </c>
      <c r="F379" s="8" t="s">
        <v>12</v>
      </c>
      <c r="G379" s="6">
        <v>180000</v>
      </c>
      <c r="H379" s="6"/>
      <c r="I379" s="6"/>
      <c r="J379" s="7"/>
      <c r="K379" s="73"/>
      <c r="L379" s="73"/>
      <c r="M379" s="73"/>
      <c r="N379" s="73"/>
      <c r="O379" s="3" t="str">
        <f>IF(C379="","",IF(C379=5,IFERROR(INDEX(code_Note1!$F$13:$F$16,MATCH(E379,code_Note1!$E$13:$E$16,0)),INDEX(code_Note1!$F$16,1)),IF(B379&lt;code_Note1!$D$21,"No",IFERROR(VLOOKUP(C379,code_Note1!$D$3:$G$8,3,FALSE),""))))</f>
        <v>No</v>
      </c>
      <c r="P379" s="3" t="s">
        <v>832</v>
      </c>
    </row>
    <row r="380" spans="1:16" ht="19.5" customHeight="1">
      <c r="A380" s="2" t="s">
        <v>854</v>
      </c>
      <c r="B380" s="38">
        <v>45832</v>
      </c>
      <c r="C380" s="1">
        <v>3</v>
      </c>
      <c r="D380" s="1" t="s">
        <v>823</v>
      </c>
      <c r="E380" s="1" t="s">
        <v>12</v>
      </c>
      <c r="F380" s="8" t="s">
        <v>356</v>
      </c>
      <c r="G380" s="6">
        <v>480000</v>
      </c>
      <c r="H380" s="6"/>
      <c r="I380" s="6"/>
      <c r="J380" s="7"/>
      <c r="K380" s="73"/>
      <c r="L380" s="73"/>
      <c r="M380" s="73"/>
      <c r="N380" s="73"/>
      <c r="O380" s="3" t="str">
        <f>IF(C380="","",IF(C380=5,IFERROR(INDEX(code_Note1!$F$13:$F$16,MATCH(E380,code_Note1!$E$13:$E$16,0)),INDEX(code_Note1!$F$16,1)),IF(B380&lt;code_Note1!$D$21,"No",IFERROR(VLOOKUP(C380,code_Note1!$D$3:$G$8,3,FALSE),""))))</f>
        <v>No</v>
      </c>
      <c r="P380" s="3" t="s">
        <v>832</v>
      </c>
    </row>
    <row r="381" spans="1:16" ht="19.5" customHeight="1">
      <c r="A381" s="2" t="s">
        <v>854</v>
      </c>
      <c r="B381" s="38">
        <v>45834</v>
      </c>
      <c r="C381" s="1">
        <v>1</v>
      </c>
      <c r="D381" s="1" t="s">
        <v>824</v>
      </c>
      <c r="E381" s="1" t="s">
        <v>54</v>
      </c>
      <c r="F381" s="8" t="s">
        <v>357</v>
      </c>
      <c r="G381" s="6">
        <v>160000</v>
      </c>
      <c r="H381" s="6"/>
      <c r="I381" s="6"/>
      <c r="J381" s="7"/>
      <c r="K381" s="73"/>
      <c r="L381" s="73"/>
      <c r="M381" s="73"/>
      <c r="N381" s="73"/>
      <c r="O381" s="3" t="str">
        <f>IF(C381="","",IF(C381=5,IFERROR(INDEX(code_Note1!$F$13:$F$16,MATCH(E381,code_Note1!$E$13:$E$16,0)),INDEX(code_Note1!$F$16,1)),IF(B381&lt;code_Note1!$D$21,"No",IFERROR(VLOOKUP(C381,code_Note1!$D$3:$G$8,3,FALSE),""))))</f>
        <v>No</v>
      </c>
      <c r="P381" s="3" t="s">
        <v>832</v>
      </c>
    </row>
    <row r="382" spans="1:16" ht="19.5" customHeight="1">
      <c r="A382" s="2" t="s">
        <v>854</v>
      </c>
      <c r="B382" s="38">
        <v>45834</v>
      </c>
      <c r="C382" s="1">
        <v>2</v>
      </c>
      <c r="D382" s="1" t="s">
        <v>838</v>
      </c>
      <c r="E382" s="1" t="s">
        <v>46</v>
      </c>
      <c r="F382" s="8" t="s">
        <v>358</v>
      </c>
      <c r="G382" s="6">
        <v>5360000</v>
      </c>
      <c r="H382" s="6"/>
      <c r="I382" s="6"/>
      <c r="J382" s="7"/>
      <c r="K382" s="73"/>
      <c r="L382" s="73"/>
      <c r="M382" s="73"/>
      <c r="N382" s="73"/>
      <c r="O382" s="3" t="str">
        <f>IF(C382="","",IF(C382=5,IFERROR(INDEX(code_Note1!$F$13:$F$16,MATCH(E382,code_Note1!$E$13:$E$16,0)),INDEX(code_Note1!$F$16,1)),IF(B382&lt;code_Note1!$D$21,"No",IFERROR(VLOOKUP(C382,code_Note1!$D$3:$G$8,3,FALSE),""))))</f>
        <v>No</v>
      </c>
      <c r="P382" s="3" t="s">
        <v>831</v>
      </c>
    </row>
    <row r="383" spans="1:16" ht="19.5" customHeight="1">
      <c r="A383" s="2" t="s">
        <v>854</v>
      </c>
      <c r="B383" s="38">
        <v>45834</v>
      </c>
      <c r="C383" s="1">
        <v>2</v>
      </c>
      <c r="D383" s="1" t="s">
        <v>838</v>
      </c>
      <c r="E383" s="1" t="s">
        <v>46</v>
      </c>
      <c r="F383" s="8" t="s">
        <v>358</v>
      </c>
      <c r="G383" s="6">
        <v>600000</v>
      </c>
      <c r="H383" s="6"/>
      <c r="I383" s="6"/>
      <c r="J383" s="7"/>
      <c r="K383" s="73"/>
      <c r="L383" s="73"/>
      <c r="M383" s="73"/>
      <c r="N383" s="73"/>
      <c r="O383" s="3" t="str">
        <f>IF(C383="","",IF(C383=5,IFERROR(INDEX(code_Note1!$F$13:$F$16,MATCH(E383,code_Note1!$E$13:$E$16,0)),INDEX(code_Note1!$F$16,1)),IF(B383&lt;code_Note1!$D$21,"No",IFERROR(VLOOKUP(C383,code_Note1!$D$3:$G$8,3,FALSE),""))))</f>
        <v>No</v>
      </c>
      <c r="P383" s="3" t="s">
        <v>831</v>
      </c>
    </row>
    <row r="384" spans="1:16" ht="19.5" customHeight="1">
      <c r="A384" s="2" t="s">
        <v>854</v>
      </c>
      <c r="B384" s="38">
        <v>45835</v>
      </c>
      <c r="C384" s="1">
        <v>2</v>
      </c>
      <c r="D384" s="1" t="s">
        <v>838</v>
      </c>
      <c r="E384" s="1" t="s">
        <v>46</v>
      </c>
      <c r="F384" s="8" t="s">
        <v>359</v>
      </c>
      <c r="G384" s="6">
        <v>8600000</v>
      </c>
      <c r="H384" s="6"/>
      <c r="I384" s="6"/>
      <c r="J384" s="7"/>
      <c r="K384" s="73"/>
      <c r="L384" s="73"/>
      <c r="M384" s="73"/>
      <c r="N384" s="73"/>
      <c r="O384" s="3" t="str">
        <f>IF(C384="","",IF(C384=5,IFERROR(INDEX(code_Note1!$F$13:$F$16,MATCH(E384,code_Note1!$E$13:$E$16,0)),INDEX(code_Note1!$F$16,1)),IF(B384&lt;code_Note1!$D$21,"No",IFERROR(VLOOKUP(C384,code_Note1!$D$3:$G$8,3,FALSE),""))))</f>
        <v>No</v>
      </c>
      <c r="P384" s="3" t="s">
        <v>831</v>
      </c>
    </row>
    <row r="385" spans="1:16" ht="19.5" customHeight="1">
      <c r="A385" s="2" t="s">
        <v>854</v>
      </c>
      <c r="B385" s="38">
        <v>45835</v>
      </c>
      <c r="C385" s="1">
        <v>2</v>
      </c>
      <c r="D385" s="1" t="s">
        <v>838</v>
      </c>
      <c r="E385" s="1" t="s">
        <v>46</v>
      </c>
      <c r="F385" s="8" t="s">
        <v>360</v>
      </c>
      <c r="G385" s="6">
        <v>3100000</v>
      </c>
      <c r="H385" s="6"/>
      <c r="I385" s="6"/>
      <c r="J385" s="7"/>
      <c r="K385" s="73"/>
      <c r="L385" s="73"/>
      <c r="M385" s="73"/>
      <c r="N385" s="73"/>
      <c r="O385" s="3" t="str">
        <f>IF(C385="","",IF(C385=5,IFERROR(INDEX(code_Note1!$F$13:$F$16,MATCH(E385,code_Note1!$E$13:$E$16,0)),INDEX(code_Note1!$F$16,1)),IF(B385&lt;code_Note1!$D$21,"No",IFERROR(VLOOKUP(C385,code_Note1!$D$3:$G$8,3,FALSE),""))))</f>
        <v>No</v>
      </c>
      <c r="P385" s="3" t="s">
        <v>831</v>
      </c>
    </row>
    <row r="386" spans="1:16" ht="19.5" customHeight="1">
      <c r="A386" s="2" t="s">
        <v>854</v>
      </c>
      <c r="B386" s="38">
        <v>45835</v>
      </c>
      <c r="C386" s="1">
        <v>2</v>
      </c>
      <c r="D386" s="1" t="s">
        <v>838</v>
      </c>
      <c r="E386" s="1" t="s">
        <v>46</v>
      </c>
      <c r="F386" s="8" t="s">
        <v>361</v>
      </c>
      <c r="G386" s="6">
        <v>3200000</v>
      </c>
      <c r="H386" s="6"/>
      <c r="I386" s="6"/>
      <c r="J386" s="7"/>
      <c r="K386" s="73"/>
      <c r="L386" s="73"/>
      <c r="M386" s="73"/>
      <c r="N386" s="73"/>
      <c r="O386" s="3" t="str">
        <f>IF(C386="","",IF(C386=5,IFERROR(INDEX(code_Note1!$F$13:$F$16,MATCH(E386,code_Note1!$E$13:$E$16,0)),INDEX(code_Note1!$F$16,1)),IF(B386&lt;code_Note1!$D$21,"No",IFERROR(VLOOKUP(C386,code_Note1!$D$3:$G$8,3,FALSE),""))))</f>
        <v>No</v>
      </c>
      <c r="P386" s="3" t="s">
        <v>831</v>
      </c>
    </row>
    <row r="387" spans="1:16" ht="19.5" customHeight="1">
      <c r="A387" s="2" t="s">
        <v>854</v>
      </c>
      <c r="B387" s="38">
        <v>45835</v>
      </c>
      <c r="C387" s="1">
        <v>2</v>
      </c>
      <c r="D387" s="1" t="s">
        <v>838</v>
      </c>
      <c r="E387" s="1" t="s">
        <v>46</v>
      </c>
      <c r="F387" s="8" t="s">
        <v>362</v>
      </c>
      <c r="G387" s="6">
        <v>1800000</v>
      </c>
      <c r="H387" s="6"/>
      <c r="I387" s="6"/>
      <c r="J387" s="7"/>
      <c r="K387" s="73"/>
      <c r="L387" s="73"/>
      <c r="M387" s="73"/>
      <c r="N387" s="73"/>
      <c r="O387" s="3" t="str">
        <f>IF(C387="","",IF(C387=5,IFERROR(INDEX(code_Note1!$F$13:$F$16,MATCH(E387,code_Note1!$E$13:$E$16,0)),INDEX(code_Note1!$F$16,1)),IF(B387&lt;code_Note1!$D$21,"No",IFERROR(VLOOKUP(C387,code_Note1!$D$3:$G$8,3,FALSE),""))))</f>
        <v>No</v>
      </c>
      <c r="P387" s="3" t="s">
        <v>831</v>
      </c>
    </row>
    <row r="388" spans="1:16" ht="19.5" customHeight="1">
      <c r="A388" s="2" t="s">
        <v>854</v>
      </c>
      <c r="B388" s="38">
        <v>45835</v>
      </c>
      <c r="C388" s="1">
        <v>2</v>
      </c>
      <c r="D388" s="1" t="s">
        <v>838</v>
      </c>
      <c r="E388" s="1" t="s">
        <v>46</v>
      </c>
      <c r="F388" s="8" t="s">
        <v>363</v>
      </c>
      <c r="G388" s="6">
        <v>150000</v>
      </c>
      <c r="H388" s="6"/>
      <c r="I388" s="6"/>
      <c r="J388" s="7"/>
      <c r="K388" s="73"/>
      <c r="L388" s="73"/>
      <c r="M388" s="73"/>
      <c r="N388" s="73"/>
      <c r="O388" s="3" t="str">
        <f>IF(C388="","",IF(C388=5,IFERROR(INDEX(code_Note1!$F$13:$F$16,MATCH(E388,code_Note1!$E$13:$E$16,0)),INDEX(code_Note1!$F$16,1)),IF(B388&lt;code_Note1!$D$21,"No",IFERROR(VLOOKUP(C388,code_Note1!$D$3:$G$8,3,FALSE),""))))</f>
        <v>No</v>
      </c>
      <c r="P388" s="3" t="s">
        <v>831</v>
      </c>
    </row>
    <row r="389" spans="1:16" ht="19.5" customHeight="1">
      <c r="A389" s="2" t="s">
        <v>854</v>
      </c>
      <c r="B389" s="38">
        <v>45835</v>
      </c>
      <c r="C389" s="1">
        <v>3</v>
      </c>
      <c r="D389" s="1" t="s">
        <v>823</v>
      </c>
      <c r="E389" s="1" t="s">
        <v>12</v>
      </c>
      <c r="F389" s="8" t="s">
        <v>364</v>
      </c>
      <c r="G389" s="6">
        <v>100000</v>
      </c>
      <c r="H389" s="6"/>
      <c r="I389" s="6"/>
      <c r="J389" s="7"/>
      <c r="K389" s="73"/>
      <c r="L389" s="73"/>
      <c r="M389" s="73"/>
      <c r="N389" s="73"/>
      <c r="O389" s="3" t="str">
        <f>IF(C389="","",IF(C389=5,IFERROR(INDEX(code_Note1!$F$13:$F$16,MATCH(E389,code_Note1!$E$13:$E$16,0)),INDEX(code_Note1!$F$16,1)),IF(B389&lt;code_Note1!$D$21,"No",IFERROR(VLOOKUP(C389,code_Note1!$D$3:$G$8,3,FALSE),""))))</f>
        <v>No</v>
      </c>
      <c r="P389" s="3" t="s">
        <v>832</v>
      </c>
    </row>
    <row r="390" spans="1:16" ht="19.5" customHeight="1">
      <c r="A390" s="2" t="s">
        <v>854</v>
      </c>
      <c r="B390" s="38">
        <v>45835</v>
      </c>
      <c r="C390" s="1">
        <v>2</v>
      </c>
      <c r="D390" s="1" t="s">
        <v>838</v>
      </c>
      <c r="E390" s="1" t="s">
        <v>21</v>
      </c>
      <c r="F390" s="8" t="s">
        <v>248</v>
      </c>
      <c r="G390" s="6">
        <v>0</v>
      </c>
      <c r="H390" s="6">
        <v>1140</v>
      </c>
      <c r="I390" s="6"/>
      <c r="J390" s="7"/>
      <c r="K390" s="73"/>
      <c r="L390" s="73"/>
      <c r="M390" s="73"/>
      <c r="N390" s="73"/>
      <c r="O390" s="3" t="str">
        <f>IF(C390="","",IF(C390=5,IFERROR(INDEX(code_Note1!$F$13:$F$16,MATCH(E390,code_Note1!$E$13:$E$16,0)),INDEX(code_Note1!$F$16,1)),IF(B390&lt;code_Note1!$D$21,"No",IFERROR(VLOOKUP(C390,code_Note1!$D$3:$G$8,3,FALSE),""))))</f>
        <v>No</v>
      </c>
      <c r="P390" s="3" t="s">
        <v>831</v>
      </c>
    </row>
    <row r="391" spans="1:16" ht="19.5" customHeight="1">
      <c r="A391" s="2" t="s">
        <v>854</v>
      </c>
      <c r="B391" s="38">
        <v>45837</v>
      </c>
      <c r="C391" s="1">
        <v>2</v>
      </c>
      <c r="D391" s="1" t="s">
        <v>838</v>
      </c>
      <c r="E391" s="1" t="s">
        <v>82</v>
      </c>
      <c r="F391" s="8" t="s">
        <v>82</v>
      </c>
      <c r="G391" s="6">
        <v>0</v>
      </c>
      <c r="H391" s="6">
        <v>93600</v>
      </c>
      <c r="I391" s="6"/>
      <c r="J391" s="7"/>
      <c r="K391" s="73"/>
      <c r="L391" s="73"/>
      <c r="M391" s="73"/>
      <c r="N391" s="73"/>
      <c r="O391" s="3" t="str">
        <f>IF(C391="","",IF(C391=5,IFERROR(INDEX(code_Note1!$F$13:$F$16,MATCH(E391,code_Note1!$E$13:$E$16,0)),INDEX(code_Note1!$F$16,1)),IF(B391&lt;code_Note1!$D$21,"No",IFERROR(VLOOKUP(C391,code_Note1!$D$3:$G$8,3,FALSE),""))))</f>
        <v>No</v>
      </c>
      <c r="P391" s="3" t="s">
        <v>831</v>
      </c>
    </row>
    <row r="392" spans="1:16" ht="19.5" customHeight="1">
      <c r="A392" s="2" t="s">
        <v>854</v>
      </c>
      <c r="B392" s="38">
        <v>45838</v>
      </c>
      <c r="C392" s="1">
        <v>2</v>
      </c>
      <c r="D392" s="1" t="s">
        <v>838</v>
      </c>
      <c r="E392" s="1" t="s">
        <v>42</v>
      </c>
      <c r="F392" s="8" t="s">
        <v>42</v>
      </c>
      <c r="G392" s="6">
        <v>3325000</v>
      </c>
      <c r="H392" s="6"/>
      <c r="I392" s="6"/>
      <c r="J392" s="7"/>
      <c r="K392" s="73"/>
      <c r="L392" s="73"/>
      <c r="M392" s="73"/>
      <c r="N392" s="73"/>
      <c r="O392" s="3" t="str">
        <f>IF(C392="","",IF(C392=5,IFERROR(INDEX(code_Note1!$F$13:$F$16,MATCH(E392,code_Note1!$E$13:$E$16,0)),INDEX(code_Note1!$F$16,1)),IF(B392&lt;code_Note1!$D$21,"No",IFERROR(VLOOKUP(C392,code_Note1!$D$3:$G$8,3,FALSE),""))))</f>
        <v>No</v>
      </c>
      <c r="P392" s="3" t="s">
        <v>831</v>
      </c>
    </row>
    <row r="393" spans="1:16" ht="19.5" customHeight="1">
      <c r="A393" s="2" t="s">
        <v>854</v>
      </c>
      <c r="B393" s="38">
        <v>45838</v>
      </c>
      <c r="C393" s="1">
        <v>2</v>
      </c>
      <c r="D393" s="1" t="s">
        <v>838</v>
      </c>
      <c r="E393" s="1" t="s">
        <v>46</v>
      </c>
      <c r="F393" s="8" t="s">
        <v>365</v>
      </c>
      <c r="G393" s="6">
        <v>3000000</v>
      </c>
      <c r="H393" s="6"/>
      <c r="I393" s="6"/>
      <c r="J393" s="7"/>
      <c r="K393" s="73"/>
      <c r="L393" s="73"/>
      <c r="M393" s="73"/>
      <c r="N393" s="73"/>
      <c r="O393" s="3" t="str">
        <f>IF(C393="","",IF(C393=5,IFERROR(INDEX(code_Note1!$F$13:$F$16,MATCH(E393,code_Note1!$E$13:$E$16,0)),INDEX(code_Note1!$F$16,1)),IF(B393&lt;code_Note1!$D$21,"No",IFERROR(VLOOKUP(C393,code_Note1!$D$3:$G$8,3,FALSE),""))))</f>
        <v>No</v>
      </c>
      <c r="P393" s="3" t="s">
        <v>831</v>
      </c>
    </row>
    <row r="394" spans="1:16" ht="19.5" customHeight="1">
      <c r="A394" s="2" t="s">
        <v>854</v>
      </c>
      <c r="B394" s="38">
        <v>45840</v>
      </c>
      <c r="C394" s="1">
        <v>2</v>
      </c>
      <c r="D394" s="1" t="s">
        <v>838</v>
      </c>
      <c r="E394" s="1" t="s">
        <v>46</v>
      </c>
      <c r="F394" s="8" t="s">
        <v>366</v>
      </c>
      <c r="G394" s="6">
        <v>2000000</v>
      </c>
      <c r="H394" s="6"/>
      <c r="I394" s="6"/>
      <c r="J394" s="7"/>
      <c r="K394" s="73"/>
      <c r="L394" s="73"/>
      <c r="M394" s="73"/>
      <c r="N394" s="73"/>
      <c r="O394" s="3" t="str">
        <f>IF(C394="","",IF(C394=5,IFERROR(INDEX(code_Note1!$F$13:$F$16,MATCH(E394,code_Note1!$E$13:$E$16,0)),INDEX(code_Note1!$F$16,1)),IF(B394&lt;code_Note1!$D$21,"No",IFERROR(VLOOKUP(C394,code_Note1!$D$3:$G$8,3,FALSE),""))))</f>
        <v>No</v>
      </c>
      <c r="P394" s="3" t="s">
        <v>831</v>
      </c>
    </row>
    <row r="395" spans="1:16" ht="19.5" customHeight="1">
      <c r="A395" s="2" t="s">
        <v>854</v>
      </c>
      <c r="B395" s="38">
        <v>45842</v>
      </c>
      <c r="C395" s="1">
        <v>2</v>
      </c>
      <c r="D395" s="1" t="s">
        <v>838</v>
      </c>
      <c r="E395" s="1" t="s">
        <v>51</v>
      </c>
      <c r="F395" s="8" t="s">
        <v>367</v>
      </c>
      <c r="G395" s="6">
        <v>0</v>
      </c>
      <c r="H395" s="6">
        <v>0</v>
      </c>
      <c r="I395" s="6">
        <v>757</v>
      </c>
      <c r="J395" s="7"/>
      <c r="K395" s="73"/>
      <c r="L395" s="73"/>
      <c r="M395" s="73"/>
      <c r="N395" s="73"/>
      <c r="O395" s="3" t="str">
        <f>IF(C395="","",IF(C395=5,IFERROR(INDEX(code_Note1!$F$13:$F$16,MATCH(E395,code_Note1!$E$13:$E$16,0)),INDEX(code_Note1!$F$16,1)),IF(B395&lt;code_Note1!$D$21,"No",IFERROR(VLOOKUP(C395,code_Note1!$D$3:$G$8,3,FALSE),""))))</f>
        <v>No</v>
      </c>
      <c r="P395" s="3" t="s">
        <v>831</v>
      </c>
    </row>
    <row r="396" spans="1:16" ht="19.5" customHeight="1">
      <c r="A396" s="2" t="s">
        <v>854</v>
      </c>
      <c r="B396" s="38">
        <v>45843</v>
      </c>
      <c r="C396" s="1">
        <v>3</v>
      </c>
      <c r="D396" s="1" t="s">
        <v>823</v>
      </c>
      <c r="E396" s="1" t="s">
        <v>12</v>
      </c>
      <c r="F396" s="8" t="s">
        <v>12</v>
      </c>
      <c r="G396" s="6">
        <v>118000</v>
      </c>
      <c r="H396" s="6"/>
      <c r="I396" s="6"/>
      <c r="J396" s="7"/>
      <c r="K396" s="73"/>
      <c r="L396" s="73"/>
      <c r="M396" s="73"/>
      <c r="N396" s="73"/>
      <c r="O396" s="3" t="str">
        <f>IF(C396="","",IF(C396=5,IFERROR(INDEX(code_Note1!$F$13:$F$16,MATCH(E396,code_Note1!$E$13:$E$16,0)),INDEX(code_Note1!$F$16,1)),IF(B396&lt;code_Note1!$D$21,"No",IFERROR(VLOOKUP(C396,code_Note1!$D$3:$G$8,3,FALSE),""))))</f>
        <v>No</v>
      </c>
      <c r="P396" s="3" t="s">
        <v>832</v>
      </c>
    </row>
    <row r="397" spans="1:16" ht="19.5" customHeight="1">
      <c r="A397" s="2" t="s">
        <v>854</v>
      </c>
      <c r="B397" s="38">
        <v>45843</v>
      </c>
      <c r="C397" s="1">
        <v>3</v>
      </c>
      <c r="D397" s="1" t="s">
        <v>823</v>
      </c>
      <c r="E397" s="1" t="s">
        <v>12</v>
      </c>
      <c r="F397" s="8" t="s">
        <v>12</v>
      </c>
      <c r="G397" s="6">
        <v>789000</v>
      </c>
      <c r="H397" s="6"/>
      <c r="I397" s="6"/>
      <c r="J397" s="7"/>
      <c r="K397" s="73"/>
      <c r="L397" s="73"/>
      <c r="M397" s="73"/>
      <c r="N397" s="73"/>
      <c r="O397" s="3" t="str">
        <f>IF(C397="","",IF(C397=5,IFERROR(INDEX(code_Note1!$F$13:$F$16,MATCH(E397,code_Note1!$E$13:$E$16,0)),INDEX(code_Note1!$F$16,1)),IF(B397&lt;code_Note1!$D$21,"No",IFERROR(VLOOKUP(C397,code_Note1!$D$3:$G$8,3,FALSE),""))))</f>
        <v>No</v>
      </c>
      <c r="P397" s="3" t="s">
        <v>832</v>
      </c>
    </row>
    <row r="398" spans="1:16" ht="19.5" customHeight="1">
      <c r="A398" s="2" t="s">
        <v>854</v>
      </c>
      <c r="B398" s="38">
        <v>45843</v>
      </c>
      <c r="C398" s="1">
        <v>2</v>
      </c>
      <c r="D398" s="1" t="s">
        <v>838</v>
      </c>
      <c r="E398" s="1" t="s">
        <v>21</v>
      </c>
      <c r="F398" s="8" t="s">
        <v>183</v>
      </c>
      <c r="G398" s="6">
        <v>405000</v>
      </c>
      <c r="H398" s="6"/>
      <c r="I398" s="6"/>
      <c r="J398" s="7"/>
      <c r="K398" s="73"/>
      <c r="L398" s="73"/>
      <c r="M398" s="73"/>
      <c r="N398" s="73"/>
      <c r="O398" s="3" t="str">
        <f>IF(C398="","",IF(C398=5,IFERROR(INDEX(code_Note1!$F$13:$F$16,MATCH(E398,code_Note1!$E$13:$E$16,0)),INDEX(code_Note1!$F$16,1)),IF(B398&lt;code_Note1!$D$21,"No",IFERROR(VLOOKUP(C398,code_Note1!$D$3:$G$8,3,FALSE),""))))</f>
        <v>No</v>
      </c>
      <c r="P398" s="3" t="s">
        <v>831</v>
      </c>
    </row>
    <row r="399" spans="1:16" ht="19.5" customHeight="1">
      <c r="A399" s="2" t="s">
        <v>854</v>
      </c>
      <c r="B399" s="38">
        <v>45844</v>
      </c>
      <c r="C399" s="1">
        <v>3</v>
      </c>
      <c r="D399" s="1" t="s">
        <v>823</v>
      </c>
      <c r="E399" s="1" t="s">
        <v>12</v>
      </c>
      <c r="F399" s="8" t="s">
        <v>216</v>
      </c>
      <c r="G399" s="6">
        <v>140000</v>
      </c>
      <c r="H399" s="6"/>
      <c r="I399" s="6"/>
      <c r="J399" s="7"/>
      <c r="K399" s="73"/>
      <c r="L399" s="73"/>
      <c r="M399" s="73"/>
      <c r="N399" s="73"/>
      <c r="O399" s="3" t="str">
        <f>IF(C399="","",IF(C399=5,IFERROR(INDEX(code_Note1!$F$13:$F$16,MATCH(E399,code_Note1!$E$13:$E$16,0)),INDEX(code_Note1!$F$16,1)),IF(B399&lt;code_Note1!$D$21,"No",IFERROR(VLOOKUP(C399,code_Note1!$D$3:$G$8,3,FALSE),""))))</f>
        <v>No</v>
      </c>
      <c r="P399" s="3" t="s">
        <v>832</v>
      </c>
    </row>
    <row r="400" spans="1:16" ht="19.5" customHeight="1">
      <c r="A400" s="2" t="s">
        <v>854</v>
      </c>
      <c r="B400" s="38">
        <v>45845</v>
      </c>
      <c r="C400" s="1">
        <v>2</v>
      </c>
      <c r="D400" s="1" t="s">
        <v>838</v>
      </c>
      <c r="E400" s="1" t="s">
        <v>34</v>
      </c>
      <c r="F400" s="8" t="s">
        <v>34</v>
      </c>
      <c r="G400" s="6">
        <v>442000</v>
      </c>
      <c r="H400" s="6"/>
      <c r="I400" s="6"/>
      <c r="J400" s="7"/>
      <c r="K400" s="73"/>
      <c r="L400" s="73"/>
      <c r="M400" s="73"/>
      <c r="N400" s="73"/>
      <c r="O400" s="3" t="str">
        <f>IF(C400="","",IF(C400=5,IFERROR(INDEX(code_Note1!$F$13:$F$16,MATCH(E400,code_Note1!$E$13:$E$16,0)),INDEX(code_Note1!$F$16,1)),IF(B400&lt;code_Note1!$D$21,"No",IFERROR(VLOOKUP(C400,code_Note1!$D$3:$G$8,3,FALSE),""))))</f>
        <v>No</v>
      </c>
      <c r="P400" s="3" t="s">
        <v>831</v>
      </c>
    </row>
    <row r="401" spans="1:16" ht="19.5" customHeight="1">
      <c r="A401" s="2" t="s">
        <v>854</v>
      </c>
      <c r="B401" s="38">
        <v>45845</v>
      </c>
      <c r="C401" s="1">
        <v>2</v>
      </c>
      <c r="D401" s="1" t="s">
        <v>838</v>
      </c>
      <c r="E401" s="1" t="s">
        <v>46</v>
      </c>
      <c r="F401" s="8" t="s">
        <v>368</v>
      </c>
      <c r="G401" s="6">
        <v>2500000</v>
      </c>
      <c r="H401" s="6"/>
      <c r="I401" s="6"/>
      <c r="J401" s="7"/>
      <c r="K401" s="73"/>
      <c r="L401" s="73"/>
      <c r="M401" s="73"/>
      <c r="N401" s="73"/>
      <c r="O401" s="3" t="str">
        <f>IF(C401="","",IF(C401=5,IFERROR(INDEX(code_Note1!$F$13:$F$16,MATCH(E401,code_Note1!$E$13:$E$16,0)),INDEX(code_Note1!$F$16,1)),IF(B401&lt;code_Note1!$D$21,"No",IFERROR(VLOOKUP(C401,code_Note1!$D$3:$G$8,3,FALSE),""))))</f>
        <v>No</v>
      </c>
      <c r="P401" s="3" t="s">
        <v>831</v>
      </c>
    </row>
    <row r="402" spans="1:16" ht="19.5" customHeight="1">
      <c r="A402" s="2" t="s">
        <v>854</v>
      </c>
      <c r="B402" s="38">
        <v>45845</v>
      </c>
      <c r="C402" s="1">
        <v>3</v>
      </c>
      <c r="D402" s="1" t="s">
        <v>823</v>
      </c>
      <c r="E402" s="1" t="s">
        <v>44</v>
      </c>
      <c r="F402" s="8" t="s">
        <v>2</v>
      </c>
      <c r="G402" s="6">
        <v>189000</v>
      </c>
      <c r="H402" s="6"/>
      <c r="I402" s="6"/>
      <c r="J402" s="7"/>
      <c r="K402" s="73"/>
      <c r="L402" s="73"/>
      <c r="M402" s="73"/>
      <c r="N402" s="73"/>
      <c r="O402" s="3" t="str">
        <f>IF(C402="","",IF(C402=5,IFERROR(INDEX(code_Note1!$F$13:$F$16,MATCH(E402,code_Note1!$E$13:$E$16,0)),INDEX(code_Note1!$F$16,1)),IF(B402&lt;code_Note1!$D$21,"No",IFERROR(VLOOKUP(C402,code_Note1!$D$3:$G$8,3,FALSE),""))))</f>
        <v>No</v>
      </c>
      <c r="P402" s="3" t="s">
        <v>832</v>
      </c>
    </row>
    <row r="403" spans="1:16" ht="19.5" customHeight="1">
      <c r="A403" s="2" t="s">
        <v>854</v>
      </c>
      <c r="B403" s="38">
        <v>45846</v>
      </c>
      <c r="C403" s="1">
        <v>2</v>
      </c>
      <c r="D403" s="1" t="s">
        <v>838</v>
      </c>
      <c r="E403" s="1" t="s">
        <v>46</v>
      </c>
      <c r="F403" s="8" t="s">
        <v>130</v>
      </c>
      <c r="G403" s="6">
        <v>10800000</v>
      </c>
      <c r="H403" s="6"/>
      <c r="I403" s="6"/>
      <c r="J403" s="7"/>
      <c r="K403" s="73"/>
      <c r="L403" s="73"/>
      <c r="M403" s="73"/>
      <c r="N403" s="73"/>
      <c r="O403" s="3" t="str">
        <f>IF(C403="","",IF(C403=5,IFERROR(INDEX(code_Note1!$F$13:$F$16,MATCH(E403,code_Note1!$E$13:$E$16,0)),INDEX(code_Note1!$F$16,1)),IF(B403&lt;code_Note1!$D$21,"No",IFERROR(VLOOKUP(C403,code_Note1!$D$3:$G$8,3,FALSE),""))))</f>
        <v>No</v>
      </c>
      <c r="P403" s="3" t="s">
        <v>831</v>
      </c>
    </row>
    <row r="404" spans="1:16" ht="19.5" customHeight="1">
      <c r="A404" s="2" t="s">
        <v>854</v>
      </c>
      <c r="B404" s="38">
        <v>45846</v>
      </c>
      <c r="C404" s="1">
        <v>2</v>
      </c>
      <c r="D404" s="1" t="s">
        <v>838</v>
      </c>
      <c r="E404" s="1" t="s">
        <v>46</v>
      </c>
      <c r="F404" s="8" t="s">
        <v>130</v>
      </c>
      <c r="G404" s="6">
        <v>2000000</v>
      </c>
      <c r="H404" s="6"/>
      <c r="I404" s="6"/>
      <c r="J404" s="7"/>
      <c r="K404" s="73"/>
      <c r="L404" s="73"/>
      <c r="M404" s="73"/>
      <c r="N404" s="73"/>
      <c r="O404" s="3" t="str">
        <f>IF(C404="","",IF(C404=5,IFERROR(INDEX(code_Note1!$F$13:$F$16,MATCH(E404,code_Note1!$E$13:$E$16,0)),INDEX(code_Note1!$F$16,1)),IF(B404&lt;code_Note1!$D$21,"No",IFERROR(VLOOKUP(C404,code_Note1!$D$3:$G$8,3,FALSE),""))))</f>
        <v>No</v>
      </c>
      <c r="P404" s="3" t="s">
        <v>831</v>
      </c>
    </row>
    <row r="405" spans="1:16" ht="19.5" customHeight="1">
      <c r="A405" s="2" t="s">
        <v>854</v>
      </c>
      <c r="B405" s="38">
        <v>45846</v>
      </c>
      <c r="C405" s="1">
        <v>2</v>
      </c>
      <c r="D405" s="1" t="s">
        <v>838</v>
      </c>
      <c r="E405" s="1" t="s">
        <v>21</v>
      </c>
      <c r="F405" s="8" t="s">
        <v>369</v>
      </c>
      <c r="G405" s="6">
        <v>800000</v>
      </c>
      <c r="H405" s="6"/>
      <c r="I405" s="6"/>
      <c r="J405" s="7"/>
      <c r="K405" s="73"/>
      <c r="L405" s="73"/>
      <c r="M405" s="73"/>
      <c r="N405" s="73"/>
      <c r="O405" s="3" t="str">
        <f>IF(C405="","",IF(C405=5,IFERROR(INDEX(code_Note1!$F$13:$F$16,MATCH(E405,code_Note1!$E$13:$E$16,0)),INDEX(code_Note1!$F$16,1)),IF(B405&lt;code_Note1!$D$21,"No",IFERROR(VLOOKUP(C405,code_Note1!$D$3:$G$8,3,FALSE),""))))</f>
        <v>No</v>
      </c>
      <c r="P405" s="3" t="s">
        <v>831</v>
      </c>
    </row>
    <row r="406" spans="1:16" ht="19.5" customHeight="1">
      <c r="A406" s="2" t="s">
        <v>854</v>
      </c>
      <c r="B406" s="38">
        <v>45850</v>
      </c>
      <c r="C406" s="1">
        <v>2</v>
      </c>
      <c r="D406" s="1" t="s">
        <v>838</v>
      </c>
      <c r="E406" s="36" t="s">
        <v>80</v>
      </c>
      <c r="F406" s="8" t="s">
        <v>370</v>
      </c>
      <c r="G406" s="6">
        <v>13000000</v>
      </c>
      <c r="H406" s="6"/>
      <c r="I406" s="6"/>
      <c r="J406" s="7"/>
      <c r="K406" s="73"/>
      <c r="L406" s="73"/>
      <c r="M406" s="73"/>
      <c r="N406" s="73"/>
      <c r="O406" s="3" t="str">
        <f>IF(C406="","",IF(C406=5,IFERROR(INDEX(code_Note1!$F$13:$F$16,MATCH(E406,code_Note1!$E$13:$E$16,0)),INDEX(code_Note1!$F$16,1)),IF(B406&lt;code_Note1!$D$21,"No",IFERROR(VLOOKUP(C406,code_Note1!$D$3:$G$8,3,FALSE),""))))</f>
        <v>No</v>
      </c>
      <c r="P406" s="3" t="s">
        <v>831</v>
      </c>
    </row>
    <row r="407" spans="1:16" ht="19.5" customHeight="1">
      <c r="A407" s="2" t="s">
        <v>854</v>
      </c>
      <c r="B407" s="38">
        <v>45850</v>
      </c>
      <c r="C407" s="1">
        <v>3</v>
      </c>
      <c r="D407" s="1" t="s">
        <v>823</v>
      </c>
      <c r="E407" s="1" t="s">
        <v>12</v>
      </c>
      <c r="F407" s="8" t="s">
        <v>118</v>
      </c>
      <c r="G407" s="6">
        <v>325000</v>
      </c>
      <c r="H407" s="6"/>
      <c r="I407" s="6"/>
      <c r="J407" s="7"/>
      <c r="K407" s="73"/>
      <c r="L407" s="73"/>
      <c r="M407" s="73"/>
      <c r="N407" s="73"/>
      <c r="O407" s="3" t="str">
        <f>IF(C407="","",IF(C407=5,IFERROR(INDEX(code_Note1!$F$13:$F$16,MATCH(E407,code_Note1!$E$13:$E$16,0)),INDEX(code_Note1!$F$16,1)),IF(B407&lt;code_Note1!$D$21,"No",IFERROR(VLOOKUP(C407,code_Note1!$D$3:$G$8,3,FALSE),""))))</f>
        <v>No</v>
      </c>
      <c r="P407" s="3" t="s">
        <v>832</v>
      </c>
    </row>
    <row r="408" spans="1:16" ht="19.5" customHeight="1">
      <c r="A408" s="2" t="s">
        <v>854</v>
      </c>
      <c r="B408" s="38">
        <v>45850</v>
      </c>
      <c r="C408" s="1">
        <v>2</v>
      </c>
      <c r="D408" s="1" t="s">
        <v>838</v>
      </c>
      <c r="E408" s="1" t="s">
        <v>46</v>
      </c>
      <c r="F408" s="8" t="s">
        <v>371</v>
      </c>
      <c r="G408" s="6">
        <v>600000</v>
      </c>
      <c r="H408" s="6"/>
      <c r="I408" s="6"/>
      <c r="J408" s="7"/>
      <c r="K408" s="73"/>
      <c r="L408" s="73"/>
      <c r="M408" s="73"/>
      <c r="N408" s="73"/>
      <c r="O408" s="3" t="str">
        <f>IF(C408="","",IF(C408=5,IFERROR(INDEX(code_Note1!$F$13:$F$16,MATCH(E408,code_Note1!$E$13:$E$16,0)),INDEX(code_Note1!$F$16,1)),IF(B408&lt;code_Note1!$D$21,"No",IFERROR(VLOOKUP(C408,code_Note1!$D$3:$G$8,3,FALSE),""))))</f>
        <v>No</v>
      </c>
      <c r="P408" s="3" t="s">
        <v>831</v>
      </c>
    </row>
    <row r="409" spans="1:16" ht="19.5" customHeight="1">
      <c r="A409" s="2" t="s">
        <v>854</v>
      </c>
      <c r="B409" s="38">
        <v>45850</v>
      </c>
      <c r="C409" s="1">
        <v>2</v>
      </c>
      <c r="D409" s="1" t="s">
        <v>838</v>
      </c>
      <c r="E409" s="1" t="s">
        <v>21</v>
      </c>
      <c r="F409" s="8" t="s">
        <v>372</v>
      </c>
      <c r="G409" s="6">
        <v>350000</v>
      </c>
      <c r="H409" s="6"/>
      <c r="I409" s="6"/>
      <c r="J409" s="7"/>
      <c r="K409" s="73"/>
      <c r="L409" s="73"/>
      <c r="M409" s="73"/>
      <c r="N409" s="73"/>
      <c r="O409" s="3" t="str">
        <f>IF(C409="","",IF(C409=5,IFERROR(INDEX(code_Note1!$F$13:$F$16,MATCH(E409,code_Note1!$E$13:$E$16,0)),INDEX(code_Note1!$F$16,1)),IF(B409&lt;code_Note1!$D$21,"No",IFERROR(VLOOKUP(C409,code_Note1!$D$3:$G$8,3,FALSE),""))))</f>
        <v>No</v>
      </c>
      <c r="P409" s="3" t="s">
        <v>831</v>
      </c>
    </row>
    <row r="410" spans="1:16" ht="19.5" customHeight="1">
      <c r="A410" s="2" t="s">
        <v>854</v>
      </c>
      <c r="B410" s="38">
        <v>45850</v>
      </c>
      <c r="C410" s="1">
        <v>2</v>
      </c>
      <c r="D410" s="1" t="s">
        <v>838</v>
      </c>
      <c r="E410" s="1" t="s">
        <v>21</v>
      </c>
      <c r="F410" s="8" t="s">
        <v>373</v>
      </c>
      <c r="G410" s="6">
        <v>255000</v>
      </c>
      <c r="H410" s="6"/>
      <c r="I410" s="6"/>
      <c r="J410" s="7"/>
      <c r="K410" s="73"/>
      <c r="L410" s="73"/>
      <c r="M410" s="73"/>
      <c r="N410" s="73"/>
      <c r="O410" s="3" t="str">
        <f>IF(C410="","",IF(C410=5,IFERROR(INDEX(code_Note1!$F$13:$F$16,MATCH(E410,code_Note1!$E$13:$E$16,0)),INDEX(code_Note1!$F$16,1)),IF(B410&lt;code_Note1!$D$21,"No",IFERROR(VLOOKUP(C410,code_Note1!$D$3:$G$8,3,FALSE),""))))</f>
        <v>No</v>
      </c>
      <c r="P410" s="3" t="s">
        <v>831</v>
      </c>
    </row>
    <row r="411" spans="1:16" ht="19.5" customHeight="1">
      <c r="A411" s="2" t="s">
        <v>854</v>
      </c>
      <c r="B411" s="38">
        <v>45850</v>
      </c>
      <c r="C411" s="1">
        <v>2</v>
      </c>
      <c r="D411" s="1" t="s">
        <v>838</v>
      </c>
      <c r="E411" s="1" t="s">
        <v>46</v>
      </c>
      <c r="F411" s="8" t="s">
        <v>374</v>
      </c>
      <c r="G411" s="6">
        <v>300000</v>
      </c>
      <c r="H411" s="6"/>
      <c r="I411" s="6"/>
      <c r="J411" s="7"/>
      <c r="K411" s="73"/>
      <c r="L411" s="73"/>
      <c r="M411" s="73"/>
      <c r="N411" s="73"/>
      <c r="O411" s="3" t="str">
        <f>IF(C411="","",IF(C411=5,IFERROR(INDEX(code_Note1!$F$13:$F$16,MATCH(E411,code_Note1!$E$13:$E$16,0)),INDEX(code_Note1!$F$16,1)),IF(B411&lt;code_Note1!$D$21,"No",IFERROR(VLOOKUP(C411,code_Note1!$D$3:$G$8,3,FALSE),""))))</f>
        <v>No</v>
      </c>
      <c r="P411" s="3" t="s">
        <v>831</v>
      </c>
    </row>
    <row r="412" spans="1:16" ht="19.5" customHeight="1">
      <c r="A412" s="2" t="s">
        <v>854</v>
      </c>
      <c r="B412" s="38">
        <v>45850</v>
      </c>
      <c r="C412" s="1">
        <v>3</v>
      </c>
      <c r="D412" s="1" t="s">
        <v>823</v>
      </c>
      <c r="E412" s="1" t="s">
        <v>12</v>
      </c>
      <c r="F412" s="8" t="s">
        <v>92</v>
      </c>
      <c r="G412" s="6">
        <v>140000</v>
      </c>
      <c r="H412" s="6"/>
      <c r="I412" s="6"/>
      <c r="J412" s="7"/>
      <c r="K412" s="73"/>
      <c r="L412" s="73"/>
      <c r="M412" s="73"/>
      <c r="N412" s="73"/>
      <c r="O412" s="3" t="str">
        <f>IF(C412="","",IF(C412=5,IFERROR(INDEX(code_Note1!$F$13:$F$16,MATCH(E412,code_Note1!$E$13:$E$16,0)),INDEX(code_Note1!$F$16,1)),IF(B412&lt;code_Note1!$D$21,"No",IFERROR(VLOOKUP(C412,code_Note1!$D$3:$G$8,3,FALSE),""))))</f>
        <v>No</v>
      </c>
      <c r="P412" s="3" t="s">
        <v>832</v>
      </c>
    </row>
    <row r="413" spans="1:16" ht="19.5" customHeight="1">
      <c r="A413" s="2" t="s">
        <v>854</v>
      </c>
      <c r="B413" s="38">
        <v>45850</v>
      </c>
      <c r="C413" s="1">
        <v>3</v>
      </c>
      <c r="D413" s="1" t="s">
        <v>823</v>
      </c>
      <c r="E413" s="1" t="s">
        <v>12</v>
      </c>
      <c r="F413" s="8" t="s">
        <v>12</v>
      </c>
      <c r="G413" s="6">
        <v>1234000</v>
      </c>
      <c r="H413" s="6"/>
      <c r="I413" s="6"/>
      <c r="J413" s="7"/>
      <c r="K413" s="73"/>
      <c r="L413" s="73"/>
      <c r="M413" s="73"/>
      <c r="N413" s="73"/>
      <c r="O413" s="3" t="str">
        <f>IF(C413="","",IF(C413=5,IFERROR(INDEX(code_Note1!$F$13:$F$16,MATCH(E413,code_Note1!$E$13:$E$16,0)),INDEX(code_Note1!$F$16,1)),IF(B413&lt;code_Note1!$D$21,"No",IFERROR(VLOOKUP(C413,code_Note1!$D$3:$G$8,3,FALSE),""))))</f>
        <v>No</v>
      </c>
      <c r="P413" s="3" t="s">
        <v>832</v>
      </c>
    </row>
    <row r="414" spans="1:16" ht="19.5" customHeight="1">
      <c r="A414" s="2" t="s">
        <v>854</v>
      </c>
      <c r="B414" s="38">
        <v>45852</v>
      </c>
      <c r="C414" s="1">
        <v>2</v>
      </c>
      <c r="D414" s="1" t="s">
        <v>838</v>
      </c>
      <c r="E414" s="1" t="s">
        <v>51</v>
      </c>
      <c r="F414" s="8" t="s">
        <v>302</v>
      </c>
      <c r="G414" s="6">
        <v>0</v>
      </c>
      <c r="H414" s="6">
        <v>0</v>
      </c>
      <c r="I414" s="6">
        <v>118.17</v>
      </c>
      <c r="J414" s="7"/>
      <c r="K414" s="73"/>
      <c r="L414" s="73"/>
      <c r="M414" s="73"/>
      <c r="N414" s="73"/>
      <c r="O414" s="3" t="str">
        <f>IF(C414="","",IF(C414=5,IFERROR(INDEX(code_Note1!$F$13:$F$16,MATCH(E414,code_Note1!$E$13:$E$16,0)),INDEX(code_Note1!$F$16,1)),IF(B414&lt;code_Note1!$D$21,"No",IFERROR(VLOOKUP(C414,code_Note1!$D$3:$G$8,3,FALSE),""))))</f>
        <v>No</v>
      </c>
      <c r="P414" s="3" t="s">
        <v>831</v>
      </c>
    </row>
    <row r="415" spans="1:16" ht="19.5" customHeight="1">
      <c r="A415" s="2" t="s">
        <v>854</v>
      </c>
      <c r="B415" s="38">
        <v>45852</v>
      </c>
      <c r="C415" s="1">
        <v>2</v>
      </c>
      <c r="D415" s="1" t="s">
        <v>838</v>
      </c>
      <c r="E415" s="1" t="s">
        <v>21</v>
      </c>
      <c r="F415" s="8" t="s">
        <v>375</v>
      </c>
      <c r="G415" s="6">
        <v>627000</v>
      </c>
      <c r="H415" s="6"/>
      <c r="I415" s="6"/>
      <c r="J415" s="7"/>
      <c r="K415" s="73"/>
      <c r="L415" s="73"/>
      <c r="M415" s="73"/>
      <c r="N415" s="73"/>
      <c r="O415" s="3" t="str">
        <f>IF(C415="","",IF(C415=5,IFERROR(INDEX(code_Note1!$F$13:$F$16,MATCH(E415,code_Note1!$E$13:$E$16,0)),INDEX(code_Note1!$F$16,1)),IF(B415&lt;code_Note1!$D$21,"No",IFERROR(VLOOKUP(C415,code_Note1!$D$3:$G$8,3,FALSE),""))))</f>
        <v>No</v>
      </c>
      <c r="P415" s="3" t="s">
        <v>831</v>
      </c>
    </row>
    <row r="416" spans="1:16" ht="19.5" customHeight="1">
      <c r="A416" s="2" t="s">
        <v>854</v>
      </c>
      <c r="B416" s="38">
        <v>45853</v>
      </c>
      <c r="C416" s="1">
        <v>3</v>
      </c>
      <c r="D416" s="1" t="s">
        <v>823</v>
      </c>
      <c r="E416" s="1" t="s">
        <v>44</v>
      </c>
      <c r="F416" s="8" t="s">
        <v>376</v>
      </c>
      <c r="G416" s="6">
        <v>108000</v>
      </c>
      <c r="H416" s="6"/>
      <c r="I416" s="6"/>
      <c r="J416" s="7"/>
      <c r="K416" s="73"/>
      <c r="L416" s="73"/>
      <c r="M416" s="73"/>
      <c r="N416" s="73"/>
      <c r="O416" s="3" t="str">
        <f>IF(C416="","",IF(C416=5,IFERROR(INDEX(code_Note1!$F$13:$F$16,MATCH(E416,code_Note1!$E$13:$E$16,0)),INDEX(code_Note1!$F$16,1)),IF(B416&lt;code_Note1!$D$21,"No",IFERROR(VLOOKUP(C416,code_Note1!$D$3:$G$8,3,FALSE),""))))</f>
        <v>No</v>
      </c>
      <c r="P416" s="3" t="s">
        <v>832</v>
      </c>
    </row>
    <row r="417" spans="1:16" ht="19.5" customHeight="1">
      <c r="A417" s="2" t="s">
        <v>854</v>
      </c>
      <c r="B417" s="38">
        <v>45853</v>
      </c>
      <c r="C417" s="1">
        <v>3</v>
      </c>
      <c r="D417" s="1" t="s">
        <v>823</v>
      </c>
      <c r="E417" s="1" t="s">
        <v>12</v>
      </c>
      <c r="F417" s="8" t="s">
        <v>377</v>
      </c>
      <c r="G417" s="6">
        <v>100000</v>
      </c>
      <c r="H417" s="6"/>
      <c r="I417" s="6"/>
      <c r="J417" s="7"/>
      <c r="K417" s="73"/>
      <c r="L417" s="73"/>
      <c r="M417" s="73"/>
      <c r="N417" s="73"/>
      <c r="O417" s="3" t="str">
        <f>IF(C417="","",IF(C417=5,IFERROR(INDEX(code_Note1!$F$13:$F$16,MATCH(E417,code_Note1!$E$13:$E$16,0)),INDEX(code_Note1!$F$16,1)),IF(B417&lt;code_Note1!$D$21,"No",IFERROR(VLOOKUP(C417,code_Note1!$D$3:$G$8,3,FALSE),""))))</f>
        <v>No</v>
      </c>
      <c r="P417" s="3" t="s">
        <v>832</v>
      </c>
    </row>
    <row r="418" spans="1:16" ht="19.5" customHeight="1">
      <c r="A418" s="2" t="s">
        <v>854</v>
      </c>
      <c r="B418" s="38">
        <v>45853</v>
      </c>
      <c r="C418" s="1">
        <v>2</v>
      </c>
      <c r="D418" s="1" t="s">
        <v>838</v>
      </c>
      <c r="E418" s="1" t="s">
        <v>34</v>
      </c>
      <c r="F418" s="8" t="s">
        <v>34</v>
      </c>
      <c r="G418" s="6">
        <v>3784000</v>
      </c>
      <c r="H418" s="6"/>
      <c r="I418" s="6"/>
      <c r="J418" s="7"/>
      <c r="K418" s="73"/>
      <c r="L418" s="73"/>
      <c r="M418" s="73"/>
      <c r="N418" s="73"/>
      <c r="O418" s="3" t="str">
        <f>IF(C418="","",IF(C418=5,IFERROR(INDEX(code_Note1!$F$13:$F$16,MATCH(E418,code_Note1!$E$13:$E$16,0)),INDEX(code_Note1!$F$16,1)),IF(B418&lt;code_Note1!$D$21,"No",IFERROR(VLOOKUP(C418,code_Note1!$D$3:$G$8,3,FALSE),""))))</f>
        <v>No</v>
      </c>
      <c r="P418" s="3" t="s">
        <v>831</v>
      </c>
    </row>
    <row r="419" spans="1:16" ht="19.5" customHeight="1">
      <c r="A419" s="2" t="s">
        <v>854</v>
      </c>
      <c r="B419" s="38">
        <v>45853</v>
      </c>
      <c r="C419" s="1">
        <v>2</v>
      </c>
      <c r="D419" s="1" t="s">
        <v>838</v>
      </c>
      <c r="E419" s="1" t="s">
        <v>379</v>
      </c>
      <c r="F419" s="8" t="s">
        <v>378</v>
      </c>
      <c r="G419" s="6">
        <v>204000</v>
      </c>
      <c r="H419" s="6">
        <v>218000</v>
      </c>
      <c r="I419" s="6"/>
      <c r="J419" s="7"/>
      <c r="K419" s="73"/>
      <c r="L419" s="73"/>
      <c r="M419" s="73"/>
      <c r="N419" s="73"/>
      <c r="O419" s="3" t="str">
        <f>IF(C419="","",IF(C419=5,IFERROR(INDEX(code_Note1!$F$13:$F$16,MATCH(E419,code_Note1!$E$13:$E$16,0)),INDEX(code_Note1!$F$16,1)),IF(B419&lt;code_Note1!$D$21,"No",IFERROR(VLOOKUP(C419,code_Note1!$D$3:$G$8,3,FALSE),""))))</f>
        <v>No</v>
      </c>
      <c r="P419" s="3" t="s">
        <v>831</v>
      </c>
    </row>
    <row r="420" spans="1:16" ht="19.5" customHeight="1">
      <c r="A420" s="2" t="s">
        <v>854</v>
      </c>
      <c r="B420" s="38">
        <v>45853</v>
      </c>
      <c r="C420" s="1">
        <v>2</v>
      </c>
      <c r="D420" s="1" t="s">
        <v>838</v>
      </c>
      <c r="E420" s="1" t="s">
        <v>42</v>
      </c>
      <c r="F420" s="8" t="s">
        <v>380</v>
      </c>
      <c r="G420" s="6">
        <v>9900000</v>
      </c>
      <c r="H420" s="6"/>
      <c r="I420" s="6"/>
      <c r="J420" s="7"/>
      <c r="K420" s="73"/>
      <c r="L420" s="73"/>
      <c r="M420" s="73"/>
      <c r="N420" s="73"/>
      <c r="O420" s="3" t="str">
        <f>IF(C420="","",IF(C420=5,IFERROR(INDEX(code_Note1!$F$13:$F$16,MATCH(E420,code_Note1!$E$13:$E$16,0)),INDEX(code_Note1!$F$16,1)),IF(B420&lt;code_Note1!$D$21,"No",IFERROR(VLOOKUP(C420,code_Note1!$D$3:$G$8,3,FALSE),""))))</f>
        <v>No</v>
      </c>
      <c r="P420" s="3" t="s">
        <v>831</v>
      </c>
    </row>
    <row r="421" spans="1:16" ht="19.5" customHeight="1">
      <c r="A421" s="2" t="s">
        <v>854</v>
      </c>
      <c r="B421" s="38">
        <v>45854</v>
      </c>
      <c r="C421" s="1">
        <v>2</v>
      </c>
      <c r="D421" s="1" t="s">
        <v>838</v>
      </c>
      <c r="E421" s="1" t="s">
        <v>382</v>
      </c>
      <c r="F421" s="8" t="s">
        <v>381</v>
      </c>
      <c r="G421" s="6">
        <v>7490000</v>
      </c>
      <c r="H421" s="6"/>
      <c r="I421" s="6"/>
      <c r="J421" s="7"/>
      <c r="K421" s="73"/>
      <c r="L421" s="73"/>
      <c r="M421" s="73"/>
      <c r="N421" s="73"/>
      <c r="O421" s="3" t="str">
        <f>IF(C421="","",IF(C421=5,IFERROR(INDEX(code_Note1!$F$13:$F$16,MATCH(E421,code_Note1!$E$13:$E$16,0)),INDEX(code_Note1!$F$16,1)),IF(B421&lt;code_Note1!$D$21,"No",IFERROR(VLOOKUP(C421,code_Note1!$D$3:$G$8,3,FALSE),""))))</f>
        <v>No</v>
      </c>
      <c r="P421" s="3" t="s">
        <v>831</v>
      </c>
    </row>
    <row r="422" spans="1:16" ht="19.5" customHeight="1">
      <c r="A422" s="2" t="s">
        <v>854</v>
      </c>
      <c r="B422" s="38">
        <v>45854</v>
      </c>
      <c r="C422" s="1">
        <v>2</v>
      </c>
      <c r="D422" s="1" t="s">
        <v>838</v>
      </c>
      <c r="E422" s="1" t="s">
        <v>46</v>
      </c>
      <c r="F422" s="8" t="s">
        <v>383</v>
      </c>
      <c r="G422" s="6">
        <v>15700000</v>
      </c>
      <c r="H422" s="6"/>
      <c r="I422" s="6"/>
      <c r="J422" s="7"/>
      <c r="K422" s="73"/>
      <c r="L422" s="73"/>
      <c r="M422" s="73"/>
      <c r="N422" s="73"/>
      <c r="O422" s="3" t="str">
        <f>IF(C422="","",IF(C422=5,IFERROR(INDEX(code_Note1!$F$13:$F$16,MATCH(E422,code_Note1!$E$13:$E$16,0)),INDEX(code_Note1!$F$16,1)),IF(B422&lt;code_Note1!$D$21,"No",IFERROR(VLOOKUP(C422,code_Note1!$D$3:$G$8,3,FALSE),""))))</f>
        <v>No</v>
      </c>
      <c r="P422" s="3" t="s">
        <v>831</v>
      </c>
    </row>
    <row r="423" spans="1:16" ht="19.5" customHeight="1">
      <c r="A423" s="2" t="s">
        <v>854</v>
      </c>
      <c r="B423" s="38">
        <v>45856</v>
      </c>
      <c r="C423" s="1">
        <v>2</v>
      </c>
      <c r="D423" s="1" t="s">
        <v>838</v>
      </c>
      <c r="E423" s="1" t="s">
        <v>355</v>
      </c>
      <c r="F423" s="8" t="s">
        <v>384</v>
      </c>
      <c r="G423" s="6">
        <v>250000</v>
      </c>
      <c r="H423" s="6"/>
      <c r="I423" s="6"/>
      <c r="J423" s="7"/>
      <c r="K423" s="73"/>
      <c r="L423" s="73"/>
      <c r="M423" s="73"/>
      <c r="N423" s="73"/>
      <c r="O423" s="3" t="str">
        <f>IF(C423="","",IF(C423=5,IFERROR(INDEX(code_Note1!$F$13:$F$16,MATCH(E423,code_Note1!$E$13:$E$16,0)),INDEX(code_Note1!$F$16,1)),IF(B423&lt;code_Note1!$D$21,"No",IFERROR(VLOOKUP(C423,code_Note1!$D$3:$G$8,3,FALSE),""))))</f>
        <v>No</v>
      </c>
      <c r="P423" s="3" t="s">
        <v>831</v>
      </c>
    </row>
    <row r="424" spans="1:16" ht="19.5" customHeight="1">
      <c r="A424" s="2" t="s">
        <v>854</v>
      </c>
      <c r="B424" s="38">
        <v>45856</v>
      </c>
      <c r="C424" s="1">
        <v>2</v>
      </c>
      <c r="D424" s="1" t="s">
        <v>838</v>
      </c>
      <c r="E424" s="1" t="s">
        <v>379</v>
      </c>
      <c r="F424" s="8" t="s">
        <v>385</v>
      </c>
      <c r="G424" s="6">
        <v>4522000</v>
      </c>
      <c r="H424" s="6"/>
      <c r="I424" s="6"/>
      <c r="J424" s="7"/>
      <c r="K424" s="73"/>
      <c r="L424" s="73"/>
      <c r="M424" s="73"/>
      <c r="N424" s="73"/>
      <c r="O424" s="3" t="str">
        <f>IF(C424="","",IF(C424=5,IFERROR(INDEX(code_Note1!$F$13:$F$16,MATCH(E424,code_Note1!$E$13:$E$16,0)),INDEX(code_Note1!$F$16,1)),IF(B424&lt;code_Note1!$D$21,"No",IFERROR(VLOOKUP(C424,code_Note1!$D$3:$G$8,3,FALSE),""))))</f>
        <v>No</v>
      </c>
      <c r="P424" s="3" t="s">
        <v>831</v>
      </c>
    </row>
    <row r="425" spans="1:16" ht="19.5" customHeight="1">
      <c r="A425" s="2" t="s">
        <v>854</v>
      </c>
      <c r="B425" s="38">
        <v>45857</v>
      </c>
      <c r="C425" s="1">
        <v>3</v>
      </c>
      <c r="D425" s="1" t="s">
        <v>823</v>
      </c>
      <c r="E425" s="1" t="s">
        <v>12</v>
      </c>
      <c r="F425" s="8" t="s">
        <v>12</v>
      </c>
      <c r="G425" s="6">
        <v>700000</v>
      </c>
      <c r="H425" s="6"/>
      <c r="I425" s="6"/>
      <c r="J425" s="7"/>
      <c r="K425" s="73"/>
      <c r="L425" s="73"/>
      <c r="M425" s="73"/>
      <c r="N425" s="73"/>
      <c r="O425" s="3" t="str">
        <f>IF(C425="","",IF(C425=5,IFERROR(INDEX(code_Note1!$F$13:$F$16,MATCH(E425,code_Note1!$E$13:$E$16,0)),INDEX(code_Note1!$F$16,1)),IF(B425&lt;code_Note1!$D$21,"No",IFERROR(VLOOKUP(C425,code_Note1!$D$3:$G$8,3,FALSE),""))))</f>
        <v>No</v>
      </c>
      <c r="P425" s="3" t="s">
        <v>832</v>
      </c>
    </row>
    <row r="426" spans="1:16" ht="19.5" customHeight="1">
      <c r="A426" s="2" t="s">
        <v>854</v>
      </c>
      <c r="B426" s="38">
        <v>45858</v>
      </c>
      <c r="C426" s="1">
        <v>2</v>
      </c>
      <c r="D426" s="1" t="s">
        <v>838</v>
      </c>
      <c r="E426" s="1" t="s">
        <v>21</v>
      </c>
      <c r="F426" s="8" t="s">
        <v>386</v>
      </c>
      <c r="G426" s="6">
        <v>0</v>
      </c>
      <c r="H426" s="6">
        <v>10749</v>
      </c>
      <c r="I426" s="6"/>
      <c r="J426" s="7"/>
      <c r="K426" s="73"/>
      <c r="L426" s="73"/>
      <c r="M426" s="73"/>
      <c r="N426" s="73"/>
      <c r="O426" s="3" t="str">
        <f>IF(C426="","",IF(C426=5,IFERROR(INDEX(code_Note1!$F$13:$F$16,MATCH(E426,code_Note1!$E$13:$E$16,0)),INDEX(code_Note1!$F$16,1)),IF(B426&lt;code_Note1!$D$21,"No",IFERROR(VLOOKUP(C426,code_Note1!$D$3:$G$8,3,FALSE),""))))</f>
        <v>No</v>
      </c>
      <c r="P426" s="3" t="s">
        <v>831</v>
      </c>
    </row>
    <row r="427" spans="1:16" ht="19.5" customHeight="1">
      <c r="A427" s="2" t="s">
        <v>854</v>
      </c>
      <c r="B427" s="38">
        <v>45858</v>
      </c>
      <c r="C427" s="1">
        <v>2</v>
      </c>
      <c r="D427" s="1" t="s">
        <v>838</v>
      </c>
      <c r="E427" s="1" t="s">
        <v>21</v>
      </c>
      <c r="F427" s="8" t="s">
        <v>386</v>
      </c>
      <c r="G427" s="6">
        <v>0</v>
      </c>
      <c r="H427" s="6">
        <v>8290</v>
      </c>
      <c r="I427" s="6"/>
      <c r="J427" s="7"/>
      <c r="K427" s="73"/>
      <c r="L427" s="73"/>
      <c r="M427" s="73"/>
      <c r="N427" s="73"/>
      <c r="O427" s="3" t="str">
        <f>IF(C427="","",IF(C427=5,IFERROR(INDEX(code_Note1!$F$13:$F$16,MATCH(E427,code_Note1!$E$13:$E$16,0)),INDEX(code_Note1!$F$16,1)),IF(B427&lt;code_Note1!$D$21,"No",IFERROR(VLOOKUP(C427,code_Note1!$D$3:$G$8,3,FALSE),""))))</f>
        <v>No</v>
      </c>
      <c r="P427" s="3" t="s">
        <v>831</v>
      </c>
    </row>
    <row r="428" spans="1:16" ht="19.5" customHeight="1">
      <c r="A428" s="2" t="s">
        <v>854</v>
      </c>
      <c r="B428" s="38">
        <v>45859</v>
      </c>
      <c r="C428" s="1">
        <v>2</v>
      </c>
      <c r="D428" s="1" t="s">
        <v>838</v>
      </c>
      <c r="E428" s="1" t="s">
        <v>388</v>
      </c>
      <c r="F428" s="8" t="s">
        <v>387</v>
      </c>
      <c r="G428" s="6">
        <v>108500000</v>
      </c>
      <c r="H428" s="6"/>
      <c r="I428" s="6"/>
      <c r="J428" s="7"/>
      <c r="K428" s="73"/>
      <c r="L428" s="73"/>
      <c r="M428" s="73"/>
      <c r="N428" s="73"/>
      <c r="O428" s="3" t="str">
        <f>IF(C428="","",IF(C428=5,IFERROR(INDEX(code_Note1!$F$13:$F$16,MATCH(E428,code_Note1!$E$13:$E$16,0)),INDEX(code_Note1!$F$16,1)),IF(B428&lt;code_Note1!$D$21,"No",IFERROR(VLOOKUP(C428,code_Note1!$D$3:$G$8,3,FALSE),""))))</f>
        <v>No</v>
      </c>
      <c r="P428" s="3" t="s">
        <v>831</v>
      </c>
    </row>
    <row r="429" spans="1:16" ht="19.5" customHeight="1">
      <c r="A429" s="2" t="s">
        <v>854</v>
      </c>
      <c r="B429" s="38">
        <v>45860</v>
      </c>
      <c r="C429" s="1">
        <v>3</v>
      </c>
      <c r="D429" s="1" t="s">
        <v>823</v>
      </c>
      <c r="E429" s="1" t="s">
        <v>44</v>
      </c>
      <c r="F429" s="8" t="s">
        <v>376</v>
      </c>
      <c r="G429" s="6">
        <v>108000</v>
      </c>
      <c r="H429" s="6"/>
      <c r="I429" s="6"/>
      <c r="J429" s="7"/>
      <c r="K429" s="73"/>
      <c r="L429" s="73"/>
      <c r="M429" s="73"/>
      <c r="N429" s="73"/>
      <c r="O429" s="3" t="str">
        <f>IF(C429="","",IF(C429=5,IFERROR(INDEX(code_Note1!$F$13:$F$16,MATCH(E429,code_Note1!$E$13:$E$16,0)),INDEX(code_Note1!$F$16,1)),IF(B429&lt;code_Note1!$D$21,"No",IFERROR(VLOOKUP(C429,code_Note1!$D$3:$G$8,3,FALSE),""))))</f>
        <v>No</v>
      </c>
      <c r="P429" s="3" t="s">
        <v>832</v>
      </c>
    </row>
    <row r="430" spans="1:16" ht="19.5" customHeight="1">
      <c r="A430" s="2" t="s">
        <v>854</v>
      </c>
      <c r="B430" s="38">
        <v>45860</v>
      </c>
      <c r="C430" s="1">
        <v>3</v>
      </c>
      <c r="D430" s="1" t="s">
        <v>823</v>
      </c>
      <c r="E430" s="1" t="s">
        <v>12</v>
      </c>
      <c r="F430" s="8" t="s">
        <v>389</v>
      </c>
      <c r="G430" s="6">
        <v>58000</v>
      </c>
      <c r="H430" s="6"/>
      <c r="I430" s="6"/>
      <c r="J430" s="7"/>
      <c r="K430" s="73"/>
      <c r="L430" s="73"/>
      <c r="M430" s="73"/>
      <c r="N430" s="73"/>
      <c r="O430" s="3" t="str">
        <f>IF(C430="","",IF(C430=5,IFERROR(INDEX(code_Note1!$F$13:$F$16,MATCH(E430,code_Note1!$E$13:$E$16,0)),INDEX(code_Note1!$F$16,1)),IF(B430&lt;code_Note1!$D$21,"No",IFERROR(VLOOKUP(C430,code_Note1!$D$3:$G$8,3,FALSE),""))))</f>
        <v>No</v>
      </c>
      <c r="P430" s="3" t="s">
        <v>832</v>
      </c>
    </row>
    <row r="431" spans="1:16" ht="19.5" customHeight="1">
      <c r="A431" s="2" t="s">
        <v>854</v>
      </c>
      <c r="B431" s="38">
        <v>45860</v>
      </c>
      <c r="C431" s="1">
        <v>3</v>
      </c>
      <c r="D431" s="1" t="s">
        <v>823</v>
      </c>
      <c r="E431" s="1" t="s">
        <v>12</v>
      </c>
      <c r="F431" s="8" t="s">
        <v>390</v>
      </c>
      <c r="G431" s="6">
        <v>88000</v>
      </c>
      <c r="H431" s="6"/>
      <c r="I431" s="6"/>
      <c r="J431" s="7"/>
      <c r="K431" s="73"/>
      <c r="L431" s="73"/>
      <c r="M431" s="73"/>
      <c r="N431" s="73"/>
      <c r="O431" s="3" t="str">
        <f>IF(C431="","",IF(C431=5,IFERROR(INDEX(code_Note1!$F$13:$F$16,MATCH(E431,code_Note1!$E$13:$E$16,0)),INDEX(code_Note1!$F$16,1)),IF(B431&lt;code_Note1!$D$21,"No",IFERROR(VLOOKUP(C431,code_Note1!$D$3:$G$8,3,FALSE),""))))</f>
        <v>No</v>
      </c>
      <c r="P431" s="3" t="s">
        <v>832</v>
      </c>
    </row>
    <row r="432" spans="1:16" ht="19.5" customHeight="1">
      <c r="A432" s="2" t="s">
        <v>854</v>
      </c>
      <c r="B432" s="38">
        <v>45860</v>
      </c>
      <c r="C432" s="1">
        <v>2</v>
      </c>
      <c r="D432" s="1" t="s">
        <v>838</v>
      </c>
      <c r="E432" s="1" t="s">
        <v>21</v>
      </c>
      <c r="F432" s="8" t="s">
        <v>391</v>
      </c>
      <c r="G432" s="6">
        <v>340000</v>
      </c>
      <c r="H432" s="6"/>
      <c r="I432" s="6"/>
      <c r="J432" s="7"/>
      <c r="K432" s="73"/>
      <c r="L432" s="73"/>
      <c r="M432" s="73"/>
      <c r="N432" s="73"/>
      <c r="O432" s="3" t="str">
        <f>IF(C432="","",IF(C432=5,IFERROR(INDEX(code_Note1!$F$13:$F$16,MATCH(E432,code_Note1!$E$13:$E$16,0)),INDEX(code_Note1!$F$16,1)),IF(B432&lt;code_Note1!$D$21,"No",IFERROR(VLOOKUP(C432,code_Note1!$D$3:$G$8,3,FALSE),""))))</f>
        <v>No</v>
      </c>
      <c r="P432" s="3" t="s">
        <v>831</v>
      </c>
    </row>
    <row r="433" spans="1:16" ht="19.5" customHeight="1">
      <c r="A433" s="2" t="s">
        <v>854</v>
      </c>
      <c r="B433" s="38">
        <v>45860</v>
      </c>
      <c r="C433" s="1">
        <v>3</v>
      </c>
      <c r="D433" s="1" t="s">
        <v>823</v>
      </c>
      <c r="E433" s="1" t="s">
        <v>12</v>
      </c>
      <c r="F433" s="8" t="s">
        <v>209</v>
      </c>
      <c r="G433" s="6">
        <v>360000</v>
      </c>
      <c r="H433" s="6"/>
      <c r="I433" s="6"/>
      <c r="J433" s="7"/>
      <c r="K433" s="73"/>
      <c r="L433" s="73"/>
      <c r="M433" s="73"/>
      <c r="N433" s="73"/>
      <c r="O433" s="3" t="str">
        <f>IF(C433="","",IF(C433=5,IFERROR(INDEX(code_Note1!$F$13:$F$16,MATCH(E433,code_Note1!$E$13:$E$16,0)),INDEX(code_Note1!$F$16,1)),IF(B433&lt;code_Note1!$D$21,"No",IFERROR(VLOOKUP(C433,code_Note1!$D$3:$G$8,3,FALSE),""))))</f>
        <v>No</v>
      </c>
      <c r="P433" s="3" t="s">
        <v>832</v>
      </c>
    </row>
    <row r="434" spans="1:16" ht="19.5" customHeight="1">
      <c r="A434" s="2" t="s">
        <v>854</v>
      </c>
      <c r="B434" s="38">
        <v>45860</v>
      </c>
      <c r="C434" s="1">
        <v>2</v>
      </c>
      <c r="D434" s="1" t="s">
        <v>838</v>
      </c>
      <c r="E434" s="1" t="s">
        <v>46</v>
      </c>
      <c r="F434" s="8" t="s">
        <v>392</v>
      </c>
      <c r="G434" s="6">
        <v>380000</v>
      </c>
      <c r="H434" s="6"/>
      <c r="I434" s="6"/>
      <c r="J434" s="7"/>
      <c r="K434" s="73"/>
      <c r="L434" s="73"/>
      <c r="M434" s="73"/>
      <c r="N434" s="73"/>
      <c r="O434" s="3" t="str">
        <f>IF(C434="","",IF(C434=5,IFERROR(INDEX(code_Note1!$F$13:$F$16,MATCH(E434,code_Note1!$E$13:$E$16,0)),INDEX(code_Note1!$F$16,1)),IF(B434&lt;code_Note1!$D$21,"No",IFERROR(VLOOKUP(C434,code_Note1!$D$3:$G$8,3,FALSE),""))))</f>
        <v>No</v>
      </c>
      <c r="P434" s="3" t="s">
        <v>831</v>
      </c>
    </row>
    <row r="435" spans="1:16" ht="19.5" customHeight="1">
      <c r="A435" s="2" t="s">
        <v>854</v>
      </c>
      <c r="B435" s="38">
        <v>45861</v>
      </c>
      <c r="C435" s="1">
        <v>2</v>
      </c>
      <c r="D435" s="1" t="s">
        <v>838</v>
      </c>
      <c r="E435" s="1" t="s">
        <v>46</v>
      </c>
      <c r="F435" s="8" t="s">
        <v>393</v>
      </c>
      <c r="G435" s="6">
        <v>300000</v>
      </c>
      <c r="H435" s="6"/>
      <c r="I435" s="6"/>
      <c r="J435" s="7"/>
      <c r="K435" s="73"/>
      <c r="L435" s="73"/>
      <c r="M435" s="73"/>
      <c r="N435" s="73"/>
      <c r="O435" s="3" t="str">
        <f>IF(C435="","",IF(C435=5,IFERROR(INDEX(code_Note1!$F$13:$F$16,MATCH(E435,code_Note1!$E$13:$E$16,0)),INDEX(code_Note1!$F$16,1)),IF(B435&lt;code_Note1!$D$21,"No",IFERROR(VLOOKUP(C435,code_Note1!$D$3:$G$8,3,FALSE),""))))</f>
        <v>No</v>
      </c>
      <c r="P435" s="3" t="s">
        <v>831</v>
      </c>
    </row>
    <row r="436" spans="1:16" ht="19.5" customHeight="1">
      <c r="A436" s="2" t="s">
        <v>854</v>
      </c>
      <c r="B436" s="38">
        <v>45861</v>
      </c>
      <c r="C436" s="1">
        <v>2</v>
      </c>
      <c r="D436" s="1" t="s">
        <v>838</v>
      </c>
      <c r="E436" s="1" t="s">
        <v>25</v>
      </c>
      <c r="F436" s="8" t="s">
        <v>394</v>
      </c>
      <c r="G436" s="6">
        <v>2000000</v>
      </c>
      <c r="H436" s="6"/>
      <c r="I436" s="6"/>
      <c r="J436" s="7"/>
      <c r="K436" s="73"/>
      <c r="L436" s="73"/>
      <c r="M436" s="73"/>
      <c r="N436" s="73"/>
      <c r="O436" s="3" t="str">
        <f>IF(C436="","",IF(C436=5,IFERROR(INDEX(code_Note1!$F$13:$F$16,MATCH(E436,code_Note1!$E$13:$E$16,0)),INDEX(code_Note1!$F$16,1)),IF(B436&lt;code_Note1!$D$21,"No",IFERROR(VLOOKUP(C436,code_Note1!$D$3:$G$8,3,FALSE),""))))</f>
        <v>No</v>
      </c>
      <c r="P436" s="3" t="s">
        <v>831</v>
      </c>
    </row>
    <row r="437" spans="1:16" ht="19.5" customHeight="1">
      <c r="A437" s="2" t="s">
        <v>854</v>
      </c>
      <c r="B437" s="38">
        <v>45861</v>
      </c>
      <c r="C437" s="1">
        <v>2</v>
      </c>
      <c r="D437" s="1" t="s">
        <v>838</v>
      </c>
      <c r="E437" s="1" t="s">
        <v>46</v>
      </c>
      <c r="F437" s="8" t="s">
        <v>395</v>
      </c>
      <c r="G437" s="6">
        <v>4000000</v>
      </c>
      <c r="H437" s="6"/>
      <c r="I437" s="6"/>
      <c r="J437" s="7"/>
      <c r="K437" s="73"/>
      <c r="L437" s="73"/>
      <c r="M437" s="73"/>
      <c r="N437" s="73"/>
      <c r="O437" s="3" t="str">
        <f>IF(C437="","",IF(C437=5,IFERROR(INDEX(code_Note1!$F$13:$F$16,MATCH(E437,code_Note1!$E$13:$E$16,0)),INDEX(code_Note1!$F$16,1)),IF(B437&lt;code_Note1!$D$21,"No",IFERROR(VLOOKUP(C437,code_Note1!$D$3:$G$8,3,FALSE),""))))</f>
        <v>No</v>
      </c>
      <c r="P437" s="3" t="s">
        <v>831</v>
      </c>
    </row>
    <row r="438" spans="1:16" ht="19.5" customHeight="1">
      <c r="A438" s="2" t="s">
        <v>854</v>
      </c>
      <c r="B438" s="38">
        <v>45861</v>
      </c>
      <c r="C438" s="1">
        <v>2</v>
      </c>
      <c r="D438" s="1" t="s">
        <v>838</v>
      </c>
      <c r="E438" s="1" t="s">
        <v>25</v>
      </c>
      <c r="F438" s="8" t="s">
        <v>396</v>
      </c>
      <c r="G438" s="6">
        <v>3200000</v>
      </c>
      <c r="H438" s="6"/>
      <c r="I438" s="6"/>
      <c r="J438" s="7"/>
      <c r="K438" s="73"/>
      <c r="L438" s="73"/>
      <c r="M438" s="73"/>
      <c r="N438" s="73"/>
      <c r="O438" s="3" t="str">
        <f>IF(C438="","",IF(C438=5,IFERROR(INDEX(code_Note1!$F$13:$F$16,MATCH(E438,code_Note1!$E$13:$E$16,0)),INDEX(code_Note1!$F$16,1)),IF(B438&lt;code_Note1!$D$21,"No",IFERROR(VLOOKUP(C438,code_Note1!$D$3:$G$8,3,FALSE),""))))</f>
        <v>No</v>
      </c>
      <c r="P438" s="3" t="s">
        <v>831</v>
      </c>
    </row>
    <row r="439" spans="1:16" ht="19.5" customHeight="1">
      <c r="A439" s="2" t="s">
        <v>854</v>
      </c>
      <c r="B439" s="38">
        <v>45861</v>
      </c>
      <c r="C439" s="1">
        <v>2</v>
      </c>
      <c r="D439" s="1" t="s">
        <v>838</v>
      </c>
      <c r="E439" s="1" t="s">
        <v>42</v>
      </c>
      <c r="F439" s="8" t="s">
        <v>42</v>
      </c>
      <c r="G439" s="6">
        <v>6600000</v>
      </c>
      <c r="H439" s="6"/>
      <c r="I439" s="6"/>
      <c r="J439" s="7"/>
      <c r="K439" s="73"/>
      <c r="L439" s="73"/>
      <c r="M439" s="73"/>
      <c r="N439" s="73"/>
      <c r="O439" s="3" t="str">
        <f>IF(C439="","",IF(C439=5,IFERROR(INDEX(code_Note1!$F$13:$F$16,MATCH(E439,code_Note1!$E$13:$E$16,0)),INDEX(code_Note1!$F$16,1)),IF(B439&lt;code_Note1!$D$21,"No",IFERROR(VLOOKUP(C439,code_Note1!$D$3:$G$8,3,FALSE),""))))</f>
        <v>No</v>
      </c>
      <c r="P439" s="3" t="s">
        <v>831</v>
      </c>
    </row>
    <row r="440" spans="1:16" ht="19.5" customHeight="1">
      <c r="A440" s="2" t="s">
        <v>854</v>
      </c>
      <c r="B440" s="38">
        <v>45864</v>
      </c>
      <c r="C440" s="1">
        <v>3</v>
      </c>
      <c r="D440" s="1" t="s">
        <v>823</v>
      </c>
      <c r="E440" s="1" t="s">
        <v>12</v>
      </c>
      <c r="F440" s="8" t="s">
        <v>12</v>
      </c>
      <c r="G440" s="6">
        <v>600000</v>
      </c>
      <c r="H440" s="6"/>
      <c r="I440" s="6"/>
      <c r="J440" s="7"/>
      <c r="K440" s="73"/>
      <c r="L440" s="73"/>
      <c r="M440" s="73"/>
      <c r="N440" s="73"/>
      <c r="O440" s="3" t="str">
        <f>IF(C440="","",IF(C440=5,IFERROR(INDEX(code_Note1!$F$13:$F$16,MATCH(E440,code_Note1!$E$13:$E$16,0)),INDEX(code_Note1!$F$16,1)),IF(B440&lt;code_Note1!$D$21,"No",IFERROR(VLOOKUP(C440,code_Note1!$D$3:$G$8,3,FALSE),""))))</f>
        <v>No</v>
      </c>
      <c r="P440" s="3" t="s">
        <v>832</v>
      </c>
    </row>
    <row r="441" spans="1:16" ht="19.5" customHeight="1">
      <c r="A441" s="2" t="s">
        <v>854</v>
      </c>
      <c r="B441" s="38">
        <v>45865</v>
      </c>
      <c r="C441" s="1">
        <v>2</v>
      </c>
      <c r="D441" s="1" t="s">
        <v>838</v>
      </c>
      <c r="E441" s="1" t="s">
        <v>46</v>
      </c>
      <c r="F441" s="8" t="s">
        <v>397</v>
      </c>
      <c r="G441" s="6">
        <v>500000</v>
      </c>
      <c r="H441" s="6"/>
      <c r="I441" s="6"/>
      <c r="J441" s="7"/>
      <c r="K441" s="73"/>
      <c r="L441" s="73"/>
      <c r="M441" s="73"/>
      <c r="N441" s="73"/>
      <c r="O441" s="3" t="str">
        <f>IF(C441="","",IF(C441=5,IFERROR(INDEX(code_Note1!$F$13:$F$16,MATCH(E441,code_Note1!$E$13:$E$16,0)),INDEX(code_Note1!$F$16,1)),IF(B441&lt;code_Note1!$D$21,"No",IFERROR(VLOOKUP(C441,code_Note1!$D$3:$G$8,3,FALSE),""))))</f>
        <v>No</v>
      </c>
      <c r="P441" s="3" t="s">
        <v>831</v>
      </c>
    </row>
    <row r="442" spans="1:16" ht="19.5" customHeight="1">
      <c r="A442" s="2" t="s">
        <v>854</v>
      </c>
      <c r="B442" s="38">
        <v>45865</v>
      </c>
      <c r="C442" s="1">
        <v>2</v>
      </c>
      <c r="D442" s="1" t="s">
        <v>838</v>
      </c>
      <c r="E442" s="1" t="s">
        <v>46</v>
      </c>
      <c r="F442" s="8" t="s">
        <v>342</v>
      </c>
      <c r="G442" s="6">
        <v>600000</v>
      </c>
      <c r="H442" s="6"/>
      <c r="I442" s="6"/>
      <c r="J442" s="7"/>
      <c r="K442" s="73"/>
      <c r="L442" s="73"/>
      <c r="M442" s="73"/>
      <c r="N442" s="73"/>
      <c r="O442" s="3" t="str">
        <f>IF(C442="","",IF(C442=5,IFERROR(INDEX(code_Note1!$F$13:$F$16,MATCH(E442,code_Note1!$E$13:$E$16,0)),INDEX(code_Note1!$F$16,1)),IF(B442&lt;code_Note1!$D$21,"No",IFERROR(VLOOKUP(C442,code_Note1!$D$3:$G$8,3,FALSE),""))))</f>
        <v>No</v>
      </c>
      <c r="P442" s="3" t="s">
        <v>831</v>
      </c>
    </row>
    <row r="443" spans="1:16" ht="19.5" customHeight="1">
      <c r="A443" s="2" t="s">
        <v>854</v>
      </c>
      <c r="B443" s="38">
        <v>45866</v>
      </c>
      <c r="C443" s="1">
        <v>2</v>
      </c>
      <c r="D443" s="1" t="s">
        <v>838</v>
      </c>
      <c r="E443" s="1" t="s">
        <v>42</v>
      </c>
      <c r="F443" s="8" t="s">
        <v>42</v>
      </c>
      <c r="G443" s="6">
        <v>6500000</v>
      </c>
      <c r="H443" s="6"/>
      <c r="I443" s="6"/>
      <c r="J443" s="7"/>
      <c r="K443" s="73"/>
      <c r="L443" s="73"/>
      <c r="M443" s="73"/>
      <c r="N443" s="73"/>
      <c r="O443" s="3" t="str">
        <f>IF(C443="","",IF(C443=5,IFERROR(INDEX(code_Note1!$F$13:$F$16,MATCH(E443,code_Note1!$E$13:$E$16,0)),INDEX(code_Note1!$F$16,1)),IF(B443&lt;code_Note1!$D$21,"No",IFERROR(VLOOKUP(C443,code_Note1!$D$3:$G$8,3,FALSE),""))))</f>
        <v>No</v>
      </c>
      <c r="P443" s="3" t="s">
        <v>831</v>
      </c>
    </row>
    <row r="444" spans="1:16" ht="19.5" customHeight="1">
      <c r="A444" s="2" t="s">
        <v>854</v>
      </c>
      <c r="B444" s="38">
        <v>45866</v>
      </c>
      <c r="C444" s="1">
        <v>3</v>
      </c>
      <c r="D444" s="1" t="s">
        <v>823</v>
      </c>
      <c r="E444" s="1" t="s">
        <v>44</v>
      </c>
      <c r="F444" s="8" t="s">
        <v>398</v>
      </c>
      <c r="G444" s="6">
        <v>117000</v>
      </c>
      <c r="H444" s="6"/>
      <c r="I444" s="6"/>
      <c r="J444" s="7"/>
      <c r="K444" s="73"/>
      <c r="L444" s="73"/>
      <c r="M444" s="73"/>
      <c r="N444" s="73"/>
      <c r="O444" s="3" t="str">
        <f>IF(C444="","",IF(C444=5,IFERROR(INDEX(code_Note1!$F$13:$F$16,MATCH(E444,code_Note1!$E$13:$E$16,0)),INDEX(code_Note1!$F$16,1)),IF(B444&lt;code_Note1!$D$21,"No",IFERROR(VLOOKUP(C444,code_Note1!$D$3:$G$8,3,FALSE),""))))</f>
        <v>No</v>
      </c>
      <c r="P444" s="3" t="s">
        <v>832</v>
      </c>
    </row>
    <row r="445" spans="1:16" ht="19.5" customHeight="1">
      <c r="A445" s="2" t="s">
        <v>854</v>
      </c>
      <c r="B445" s="38">
        <v>45867</v>
      </c>
      <c r="C445" s="1">
        <v>2</v>
      </c>
      <c r="D445" s="1" t="s">
        <v>838</v>
      </c>
      <c r="E445" s="1" t="s">
        <v>21</v>
      </c>
      <c r="F445" s="8" t="s">
        <v>399</v>
      </c>
      <c r="G445" s="6">
        <v>3430000</v>
      </c>
      <c r="H445" s="6"/>
      <c r="I445" s="6"/>
      <c r="J445" s="7"/>
      <c r="K445" s="73"/>
      <c r="L445" s="73"/>
      <c r="M445" s="73"/>
      <c r="N445" s="73"/>
      <c r="O445" s="3" t="str">
        <f>IF(C445="","",IF(C445=5,IFERROR(INDEX(code_Note1!$F$13:$F$16,MATCH(E445,code_Note1!$E$13:$E$16,0)),INDEX(code_Note1!$F$16,1)),IF(B445&lt;code_Note1!$D$21,"No",IFERROR(VLOOKUP(C445,code_Note1!$D$3:$G$8,3,FALSE),""))))</f>
        <v>No</v>
      </c>
      <c r="P445" s="3" t="s">
        <v>831</v>
      </c>
    </row>
    <row r="446" spans="1:16" ht="19.5" customHeight="1">
      <c r="A446" s="2" t="s">
        <v>854</v>
      </c>
      <c r="B446" s="38">
        <v>45867</v>
      </c>
      <c r="C446" s="1">
        <v>2</v>
      </c>
      <c r="D446" s="1" t="s">
        <v>838</v>
      </c>
      <c r="E446" s="1" t="s">
        <v>25</v>
      </c>
      <c r="F446" s="8" t="s">
        <v>400</v>
      </c>
      <c r="G446" s="6">
        <v>4900000</v>
      </c>
      <c r="H446" s="6"/>
      <c r="I446" s="6"/>
      <c r="J446" s="7"/>
      <c r="K446" s="73"/>
      <c r="L446" s="73"/>
      <c r="M446" s="73"/>
      <c r="N446" s="73"/>
      <c r="O446" s="3" t="str">
        <f>IF(C446="","",IF(C446=5,IFERROR(INDEX(code_Note1!$F$13:$F$16,MATCH(E446,code_Note1!$E$13:$E$16,0)),INDEX(code_Note1!$F$16,1)),IF(B446&lt;code_Note1!$D$21,"No",IFERROR(VLOOKUP(C446,code_Note1!$D$3:$G$8,3,FALSE),""))))</f>
        <v>No</v>
      </c>
      <c r="P446" s="3" t="s">
        <v>831</v>
      </c>
    </row>
    <row r="447" spans="1:16" ht="19.5" customHeight="1">
      <c r="A447" s="2" t="s">
        <v>854</v>
      </c>
      <c r="B447" s="38">
        <v>45867</v>
      </c>
      <c r="C447" s="1">
        <v>2</v>
      </c>
      <c r="D447" s="1" t="s">
        <v>838</v>
      </c>
      <c r="E447" s="1" t="s">
        <v>46</v>
      </c>
      <c r="F447" s="8" t="s">
        <v>401</v>
      </c>
      <c r="G447" s="6">
        <v>2000000</v>
      </c>
      <c r="H447" s="6"/>
      <c r="I447" s="6"/>
      <c r="J447" s="7"/>
      <c r="K447" s="73"/>
      <c r="L447" s="73"/>
      <c r="M447" s="73"/>
      <c r="N447" s="73"/>
      <c r="O447" s="3" t="str">
        <f>IF(C447="","",IF(C447=5,IFERROR(INDEX(code_Note1!$F$13:$F$16,MATCH(E447,code_Note1!$E$13:$E$16,0)),INDEX(code_Note1!$F$16,1)),IF(B447&lt;code_Note1!$D$21,"No",IFERROR(VLOOKUP(C447,code_Note1!$D$3:$G$8,3,FALSE),""))))</f>
        <v>No</v>
      </c>
      <c r="P447" s="3" t="s">
        <v>831</v>
      </c>
    </row>
    <row r="448" spans="1:16" ht="19.5" customHeight="1">
      <c r="A448" s="2" t="s">
        <v>854</v>
      </c>
      <c r="B448" s="38">
        <v>45869</v>
      </c>
      <c r="C448" s="1">
        <v>2</v>
      </c>
      <c r="D448" s="1" t="s">
        <v>838</v>
      </c>
      <c r="E448" s="1" t="s">
        <v>46</v>
      </c>
      <c r="F448" s="8" t="s">
        <v>324</v>
      </c>
      <c r="G448" s="6">
        <v>7350000</v>
      </c>
      <c r="H448" s="6"/>
      <c r="I448" s="6"/>
      <c r="J448" s="7"/>
      <c r="K448" s="73"/>
      <c r="L448" s="73"/>
      <c r="M448" s="73"/>
      <c r="N448" s="73"/>
      <c r="O448" s="3" t="str">
        <f>IF(C448="","",IF(C448=5,IFERROR(INDEX(code_Note1!$F$13:$F$16,MATCH(E448,code_Note1!$E$13:$E$16,0)),INDEX(code_Note1!$F$16,1)),IF(B448&lt;code_Note1!$D$21,"No",IFERROR(VLOOKUP(C448,code_Note1!$D$3:$G$8,3,FALSE),""))))</f>
        <v>No</v>
      </c>
      <c r="P448" s="3" t="s">
        <v>831</v>
      </c>
    </row>
    <row r="449" spans="1:16" ht="19.5" customHeight="1">
      <c r="A449" s="2" t="s">
        <v>854</v>
      </c>
      <c r="B449" s="38">
        <v>45869</v>
      </c>
      <c r="C449" s="1">
        <v>2</v>
      </c>
      <c r="D449" s="1" t="s">
        <v>838</v>
      </c>
      <c r="E449" s="1" t="s">
        <v>46</v>
      </c>
      <c r="F449" s="8" t="s">
        <v>402</v>
      </c>
      <c r="G449" s="6">
        <v>5570000</v>
      </c>
      <c r="H449" s="6"/>
      <c r="I449" s="6"/>
      <c r="J449" s="7"/>
      <c r="K449" s="73"/>
      <c r="L449" s="73"/>
      <c r="M449" s="73"/>
      <c r="N449" s="73"/>
      <c r="O449" s="3" t="str">
        <f>IF(C449="","",IF(C449=5,IFERROR(INDEX(code_Note1!$F$13:$F$16,MATCH(E449,code_Note1!$E$13:$E$16,0)),INDEX(code_Note1!$F$16,1)),IF(B449&lt;code_Note1!$D$21,"No",IFERROR(VLOOKUP(C449,code_Note1!$D$3:$G$8,3,FALSE),""))))</f>
        <v>No</v>
      </c>
      <c r="P449" s="3" t="s">
        <v>831</v>
      </c>
    </row>
    <row r="450" spans="1:16" ht="19.5" customHeight="1">
      <c r="A450" s="2" t="s">
        <v>854</v>
      </c>
      <c r="B450" s="38">
        <v>45870</v>
      </c>
      <c r="C450" s="1">
        <v>2</v>
      </c>
      <c r="D450" s="1" t="s">
        <v>838</v>
      </c>
      <c r="E450" s="1" t="s">
        <v>46</v>
      </c>
      <c r="F450" s="8" t="s">
        <v>130</v>
      </c>
      <c r="G450" s="6">
        <v>7700000</v>
      </c>
      <c r="H450" s="6"/>
      <c r="I450" s="6"/>
      <c r="J450" s="7"/>
      <c r="K450" s="73"/>
      <c r="L450" s="73"/>
      <c r="M450" s="73"/>
      <c r="N450" s="73"/>
      <c r="O450" s="3" t="str">
        <f>IF(C450="","",IF(C450=5,IFERROR(INDEX(code_Note1!$F$13:$F$16,MATCH(E450,code_Note1!$E$13:$E$16,0)),INDEX(code_Note1!$F$16,1)),IF(B450&lt;code_Note1!$D$21,"No",IFERROR(VLOOKUP(C450,code_Note1!$D$3:$G$8,3,FALSE),""))))</f>
        <v>No</v>
      </c>
      <c r="P450" s="3" t="s">
        <v>831</v>
      </c>
    </row>
    <row r="451" spans="1:16" ht="19.5" customHeight="1">
      <c r="A451" s="2" t="s">
        <v>854</v>
      </c>
      <c r="B451" s="38">
        <v>45870</v>
      </c>
      <c r="C451" s="1">
        <v>1</v>
      </c>
      <c r="D451" s="1" t="s">
        <v>824</v>
      </c>
      <c r="E451" s="1" t="s">
        <v>293</v>
      </c>
      <c r="F451" s="8" t="s">
        <v>403</v>
      </c>
      <c r="G451" s="6">
        <v>1920000</v>
      </c>
      <c r="H451" s="6"/>
      <c r="I451" s="6"/>
      <c r="J451" s="7"/>
      <c r="K451" s="73"/>
      <c r="L451" s="73"/>
      <c r="M451" s="73"/>
      <c r="N451" s="73"/>
      <c r="O451" s="3" t="str">
        <f>IF(C451="","",IF(C451=5,IFERROR(INDEX(code_Note1!$F$13:$F$16,MATCH(E451,code_Note1!$E$13:$E$16,0)),INDEX(code_Note1!$F$16,1)),IF(B451&lt;code_Note1!$D$21,"No",IFERROR(VLOOKUP(C451,code_Note1!$D$3:$G$8,3,FALSE),""))))</f>
        <v>No</v>
      </c>
      <c r="P451" s="3" t="s">
        <v>832</v>
      </c>
    </row>
    <row r="452" spans="1:16" ht="19.5" customHeight="1">
      <c r="A452" s="2" t="s">
        <v>854</v>
      </c>
      <c r="B452" s="38">
        <v>45870</v>
      </c>
      <c r="C452" s="1">
        <v>1</v>
      </c>
      <c r="D452" s="1" t="s">
        <v>824</v>
      </c>
      <c r="E452" s="1" t="s">
        <v>291</v>
      </c>
      <c r="F452" s="8" t="s">
        <v>404</v>
      </c>
      <c r="G452" s="6">
        <v>240000</v>
      </c>
      <c r="H452" s="6"/>
      <c r="I452" s="6"/>
      <c r="J452" s="7"/>
      <c r="K452" s="73"/>
      <c r="L452" s="73"/>
      <c r="M452" s="73"/>
      <c r="N452" s="73"/>
      <c r="O452" s="3" t="str">
        <f>IF(C452="","",IF(C452=5,IFERROR(INDEX(code_Note1!$F$13:$F$16,MATCH(E452,code_Note1!$E$13:$E$16,0)),INDEX(code_Note1!$F$16,1)),IF(B452&lt;code_Note1!$D$21,"No",IFERROR(VLOOKUP(C452,code_Note1!$D$3:$G$8,3,FALSE),""))))</f>
        <v>No</v>
      </c>
      <c r="P452" s="3" t="s">
        <v>832</v>
      </c>
    </row>
    <row r="453" spans="1:16" ht="19.5" customHeight="1">
      <c r="A453" s="2" t="s">
        <v>854</v>
      </c>
      <c r="B453" s="38">
        <v>45870</v>
      </c>
      <c r="C453" s="1">
        <v>1</v>
      </c>
      <c r="D453" s="1" t="s">
        <v>824</v>
      </c>
      <c r="E453" s="1" t="s">
        <v>406</v>
      </c>
      <c r="F453" s="8" t="s">
        <v>405</v>
      </c>
      <c r="G453" s="6">
        <v>448000</v>
      </c>
      <c r="H453" s="6"/>
      <c r="I453" s="6"/>
      <c r="J453" s="7"/>
      <c r="K453" s="73"/>
      <c r="L453" s="73"/>
      <c r="M453" s="73"/>
      <c r="N453" s="73"/>
      <c r="O453" s="3" t="str">
        <f>IF(C453="","",IF(C453=5,IFERROR(INDEX(code_Note1!$F$13:$F$16,MATCH(E453,code_Note1!$E$13:$E$16,0)),INDEX(code_Note1!$F$16,1)),IF(B453&lt;code_Note1!$D$21,"No",IFERROR(VLOOKUP(C453,code_Note1!$D$3:$G$8,3,FALSE),""))))</f>
        <v>No</v>
      </c>
      <c r="P453" s="3" t="s">
        <v>832</v>
      </c>
    </row>
    <row r="454" spans="1:16" ht="19.5" customHeight="1">
      <c r="A454" s="2" t="s">
        <v>854</v>
      </c>
      <c r="B454" s="38">
        <v>45870</v>
      </c>
      <c r="C454" s="1">
        <v>1</v>
      </c>
      <c r="D454" s="1" t="s">
        <v>824</v>
      </c>
      <c r="E454" s="1" t="s">
        <v>103</v>
      </c>
      <c r="F454" s="8" t="s">
        <v>102</v>
      </c>
      <c r="G454" s="6">
        <v>500000</v>
      </c>
      <c r="H454" s="6"/>
      <c r="I454" s="6"/>
      <c r="J454" s="7"/>
      <c r="K454" s="73"/>
      <c r="L454" s="73"/>
      <c r="M454" s="73"/>
      <c r="N454" s="73"/>
      <c r="O454" s="3" t="str">
        <f>IF(C454="","",IF(C454=5,IFERROR(INDEX(code_Note1!$F$13:$F$16,MATCH(E454,code_Note1!$E$13:$E$16,0)),INDEX(code_Note1!$F$16,1)),IF(B454&lt;code_Note1!$D$21,"No",IFERROR(VLOOKUP(C454,code_Note1!$D$3:$G$8,3,FALSE),""))))</f>
        <v>No</v>
      </c>
      <c r="P454" s="3" t="s">
        <v>832</v>
      </c>
    </row>
    <row r="455" spans="1:16" ht="19.5" customHeight="1">
      <c r="A455" s="2" t="s">
        <v>854</v>
      </c>
      <c r="B455" s="38">
        <v>45871</v>
      </c>
      <c r="C455" s="1">
        <v>3</v>
      </c>
      <c r="D455" s="1" t="s">
        <v>823</v>
      </c>
      <c r="E455" s="1" t="s">
        <v>12</v>
      </c>
      <c r="F455" s="8" t="s">
        <v>210</v>
      </c>
      <c r="G455" s="6">
        <v>880000</v>
      </c>
      <c r="H455" s="6"/>
      <c r="I455" s="6"/>
      <c r="J455" s="7"/>
      <c r="K455" s="73"/>
      <c r="L455" s="73"/>
      <c r="M455" s="73"/>
      <c r="N455" s="73"/>
      <c r="O455" s="3" t="str">
        <f>IF(C455="","",IF(C455=5,IFERROR(INDEX(code_Note1!$F$13:$F$16,MATCH(E455,code_Note1!$E$13:$E$16,0)),INDEX(code_Note1!$F$16,1)),IF(B455&lt;code_Note1!$D$21,"No",IFERROR(VLOOKUP(C455,code_Note1!$D$3:$G$8,3,FALSE),""))))</f>
        <v>No</v>
      </c>
      <c r="P455" s="3" t="s">
        <v>832</v>
      </c>
    </row>
    <row r="456" spans="1:16" ht="19.5" customHeight="1">
      <c r="A456" s="2" t="s">
        <v>854</v>
      </c>
      <c r="B456" s="38">
        <v>45871</v>
      </c>
      <c r="C456" s="1">
        <v>3</v>
      </c>
      <c r="D456" s="1" t="s">
        <v>823</v>
      </c>
      <c r="E456" s="1" t="s">
        <v>12</v>
      </c>
      <c r="F456" s="8" t="s">
        <v>407</v>
      </c>
      <c r="G456" s="6">
        <v>205000</v>
      </c>
      <c r="H456" s="6"/>
      <c r="I456" s="6"/>
      <c r="J456" s="7"/>
      <c r="K456" s="73"/>
      <c r="L456" s="73"/>
      <c r="M456" s="73"/>
      <c r="N456" s="73"/>
      <c r="O456" s="3" t="str">
        <f>IF(C456="","",IF(C456=5,IFERROR(INDEX(code_Note1!$F$13:$F$16,MATCH(E456,code_Note1!$E$13:$E$16,0)),INDEX(code_Note1!$F$16,1)),IF(B456&lt;code_Note1!$D$21,"No",IFERROR(VLOOKUP(C456,code_Note1!$D$3:$G$8,3,FALSE),""))))</f>
        <v>No</v>
      </c>
      <c r="P456" s="3" t="s">
        <v>832</v>
      </c>
    </row>
    <row r="457" spans="1:16" ht="19.5" customHeight="1">
      <c r="A457" s="2" t="s">
        <v>854</v>
      </c>
      <c r="B457" s="38">
        <v>45871</v>
      </c>
      <c r="C457" s="1">
        <v>2</v>
      </c>
      <c r="D457" s="1" t="s">
        <v>838</v>
      </c>
      <c r="E457" s="1" t="s">
        <v>46</v>
      </c>
      <c r="F457" s="8" t="s">
        <v>408</v>
      </c>
      <c r="G457" s="6">
        <v>6250000</v>
      </c>
      <c r="H457" s="6"/>
      <c r="I457" s="6"/>
      <c r="J457" s="7"/>
      <c r="K457" s="73"/>
      <c r="L457" s="73"/>
      <c r="M457" s="73"/>
      <c r="N457" s="73"/>
      <c r="O457" s="3" t="str">
        <f>IF(C457="","",IF(C457=5,IFERROR(INDEX(code_Note1!$F$13:$F$16,MATCH(E457,code_Note1!$E$13:$E$16,0)),INDEX(code_Note1!$F$16,1)),IF(B457&lt;code_Note1!$D$21,"No",IFERROR(VLOOKUP(C457,code_Note1!$D$3:$G$8,3,FALSE),""))))</f>
        <v>No</v>
      </c>
      <c r="P457" s="3" t="s">
        <v>831</v>
      </c>
    </row>
    <row r="458" spans="1:16" ht="19.5" customHeight="1">
      <c r="A458" s="2" t="s">
        <v>854</v>
      </c>
      <c r="B458" s="38">
        <v>45872</v>
      </c>
      <c r="C458" s="1">
        <v>2</v>
      </c>
      <c r="D458" s="1" t="s">
        <v>838</v>
      </c>
      <c r="E458" s="1" t="s">
        <v>21</v>
      </c>
      <c r="F458" s="8" t="s">
        <v>409</v>
      </c>
      <c r="G458" s="6">
        <v>100000</v>
      </c>
      <c r="H458" s="6"/>
      <c r="I458" s="6"/>
      <c r="J458" s="7"/>
      <c r="K458" s="73"/>
      <c r="L458" s="73"/>
      <c r="M458" s="73"/>
      <c r="N458" s="73"/>
      <c r="O458" s="3" t="str">
        <f>IF(C458="","",IF(C458=5,IFERROR(INDEX(code_Note1!$F$13:$F$16,MATCH(E458,code_Note1!$E$13:$E$16,0)),INDEX(code_Note1!$F$16,1)),IF(B458&lt;code_Note1!$D$21,"No",IFERROR(VLOOKUP(C458,code_Note1!$D$3:$G$8,3,FALSE),""))))</f>
        <v>No</v>
      </c>
      <c r="P458" s="3" t="s">
        <v>831</v>
      </c>
    </row>
    <row r="459" spans="1:16" ht="19.5" customHeight="1">
      <c r="A459" s="2" t="s">
        <v>854</v>
      </c>
      <c r="B459" s="38">
        <v>45872</v>
      </c>
      <c r="C459" s="1">
        <v>2</v>
      </c>
      <c r="D459" s="1" t="s">
        <v>838</v>
      </c>
      <c r="E459" s="1" t="s">
        <v>46</v>
      </c>
      <c r="F459" s="8" t="s">
        <v>371</v>
      </c>
      <c r="G459" s="6">
        <v>600000</v>
      </c>
      <c r="H459" s="6"/>
      <c r="I459" s="6"/>
      <c r="J459" s="7"/>
      <c r="K459" s="73"/>
      <c r="L459" s="73"/>
      <c r="M459" s="73"/>
      <c r="N459" s="73"/>
      <c r="O459" s="3" t="str">
        <f>IF(C459="","",IF(C459=5,IFERROR(INDEX(code_Note1!$F$13:$F$16,MATCH(E459,code_Note1!$E$13:$E$16,0)),INDEX(code_Note1!$F$16,1)),IF(B459&lt;code_Note1!$D$21,"No",IFERROR(VLOOKUP(C459,code_Note1!$D$3:$G$8,3,FALSE),""))))</f>
        <v>No</v>
      </c>
      <c r="P459" s="3" t="s">
        <v>831</v>
      </c>
    </row>
    <row r="460" spans="1:16" ht="19.5" customHeight="1">
      <c r="A460" s="2" t="s">
        <v>854</v>
      </c>
      <c r="B460" s="38">
        <v>45872</v>
      </c>
      <c r="C460" s="1">
        <v>2</v>
      </c>
      <c r="D460" s="1" t="s">
        <v>838</v>
      </c>
      <c r="E460" s="1" t="s">
        <v>21</v>
      </c>
      <c r="F460" s="8" t="s">
        <v>410</v>
      </c>
      <c r="G460" s="6">
        <v>1000000</v>
      </c>
      <c r="H460" s="6"/>
      <c r="I460" s="6"/>
      <c r="J460" s="7"/>
      <c r="K460" s="73"/>
      <c r="L460" s="73"/>
      <c r="M460" s="73"/>
      <c r="N460" s="73"/>
      <c r="O460" s="3" t="str">
        <f>IF(C460="","",IF(C460=5,IFERROR(INDEX(code_Note1!$F$13:$F$16,MATCH(E460,code_Note1!$E$13:$E$16,0)),INDEX(code_Note1!$F$16,1)),IF(B460&lt;code_Note1!$D$21,"No",IFERROR(VLOOKUP(C460,code_Note1!$D$3:$G$8,3,FALSE),""))))</f>
        <v>No</v>
      </c>
      <c r="P460" s="3" t="s">
        <v>831</v>
      </c>
    </row>
    <row r="461" spans="1:16" ht="19.5" customHeight="1">
      <c r="A461" s="2" t="s">
        <v>854</v>
      </c>
      <c r="B461" s="38">
        <v>45873</v>
      </c>
      <c r="C461" s="1">
        <v>2</v>
      </c>
      <c r="D461" s="1" t="s">
        <v>838</v>
      </c>
      <c r="E461" s="1" t="s">
        <v>21</v>
      </c>
      <c r="F461" s="8" t="s">
        <v>411</v>
      </c>
      <c r="G461" s="6">
        <v>8190000</v>
      </c>
      <c r="H461" s="6"/>
      <c r="I461" s="6"/>
      <c r="J461" s="7"/>
      <c r="K461" s="73"/>
      <c r="L461" s="73"/>
      <c r="M461" s="73"/>
      <c r="N461" s="73"/>
      <c r="O461" s="3" t="str">
        <f>IF(C461="","",IF(C461=5,IFERROR(INDEX(code_Note1!$F$13:$F$16,MATCH(E461,code_Note1!$E$13:$E$16,0)),INDEX(code_Note1!$F$16,1)),IF(B461&lt;code_Note1!$D$21,"No",IFERROR(VLOOKUP(C461,code_Note1!$D$3:$G$8,3,FALSE),""))))</f>
        <v>No</v>
      </c>
      <c r="P461" s="3" t="s">
        <v>831</v>
      </c>
    </row>
    <row r="462" spans="1:16" ht="19.5" customHeight="1">
      <c r="A462" s="2" t="s">
        <v>854</v>
      </c>
      <c r="B462" s="38">
        <v>45873</v>
      </c>
      <c r="C462" s="1" t="s">
        <v>844</v>
      </c>
      <c r="D462" s="1" t="s">
        <v>826</v>
      </c>
      <c r="E462" s="1" t="s">
        <v>127</v>
      </c>
      <c r="F462" s="8" t="s">
        <v>412</v>
      </c>
      <c r="G462" s="6">
        <v>25000000</v>
      </c>
      <c r="H462" s="6"/>
      <c r="I462" s="6"/>
      <c r="J462" s="7"/>
      <c r="K462" s="73"/>
      <c r="L462" s="73"/>
      <c r="M462" s="73"/>
      <c r="N462" s="73"/>
      <c r="O462" s="3" t="str">
        <f>IF(C462="","",IF(C462=5,IFERROR(INDEX(code_Note1!$F$13:$F$16,MATCH(E462,code_Note1!$E$13:$E$16,0)),INDEX(code_Note1!$F$16,1)),IF(B462&lt;code_Note1!$D$21,"No",IFERROR(VLOOKUP(C462,code_Note1!$D$3:$G$8,3,FALSE),""))))</f>
        <v>No</v>
      </c>
      <c r="P462" s="3" t="s">
        <v>833</v>
      </c>
    </row>
    <row r="463" spans="1:16" ht="19.5" customHeight="1">
      <c r="A463" s="2" t="s">
        <v>854</v>
      </c>
      <c r="B463" s="38">
        <v>45873</v>
      </c>
      <c r="C463" s="1" t="s">
        <v>844</v>
      </c>
      <c r="D463" s="1" t="s">
        <v>826</v>
      </c>
      <c r="E463" s="28" t="s">
        <v>414</v>
      </c>
      <c r="F463" s="8" t="s">
        <v>413</v>
      </c>
      <c r="G463" s="6">
        <v>10761000</v>
      </c>
      <c r="H463" s="6"/>
      <c r="I463" s="6"/>
      <c r="J463" s="7"/>
      <c r="K463" s="73"/>
      <c r="L463" s="73"/>
      <c r="M463" s="73"/>
      <c r="N463" s="73"/>
      <c r="O463" s="3" t="str">
        <f>IF(C463="","",IF(C463=5,IFERROR(INDEX(code_Note1!$F$13:$F$16,MATCH(E463,code_Note1!$E$13:$E$16,0)),INDEX(code_Note1!$F$16,1)),IF(B463&lt;code_Note1!$D$21,"No",IFERROR(VLOOKUP(C463,code_Note1!$D$3:$G$8,3,FALSE),""))))</f>
        <v>No</v>
      </c>
      <c r="P463" s="3" t="s">
        <v>833</v>
      </c>
    </row>
    <row r="464" spans="1:16" ht="19.5" customHeight="1">
      <c r="A464" s="2" t="s">
        <v>854</v>
      </c>
      <c r="B464" s="38">
        <v>45873</v>
      </c>
      <c r="C464" s="1">
        <v>3</v>
      </c>
      <c r="D464" s="1" t="s">
        <v>823</v>
      </c>
      <c r="E464" s="1" t="s">
        <v>44</v>
      </c>
      <c r="F464" s="8" t="s">
        <v>415</v>
      </c>
      <c r="G464" s="6">
        <v>90000</v>
      </c>
      <c r="H464" s="6"/>
      <c r="I464" s="6"/>
      <c r="J464" s="7"/>
      <c r="K464" s="73"/>
      <c r="L464" s="73"/>
      <c r="M464" s="73"/>
      <c r="N464" s="73"/>
      <c r="O464" s="3" t="str">
        <f>IF(C464="","",IF(C464=5,IFERROR(INDEX(code_Note1!$F$13:$F$16,MATCH(E464,code_Note1!$E$13:$E$16,0)),INDEX(code_Note1!$F$16,1)),IF(B464&lt;code_Note1!$D$21,"No",IFERROR(VLOOKUP(C464,code_Note1!$D$3:$G$8,3,FALSE),""))))</f>
        <v>No</v>
      </c>
      <c r="P464" s="3" t="s">
        <v>832</v>
      </c>
    </row>
    <row r="465" spans="1:16" ht="19.5" customHeight="1">
      <c r="A465" s="2" t="s">
        <v>854</v>
      </c>
      <c r="B465" s="38">
        <v>45874</v>
      </c>
      <c r="C465" s="1">
        <v>2</v>
      </c>
      <c r="D465" s="1" t="s">
        <v>838</v>
      </c>
      <c r="E465" s="1" t="s">
        <v>42</v>
      </c>
      <c r="F465" s="8" t="s">
        <v>416</v>
      </c>
      <c r="G465" s="6">
        <v>3200000</v>
      </c>
      <c r="H465" s="6"/>
      <c r="I465" s="6"/>
      <c r="J465" s="7"/>
      <c r="K465" s="73"/>
      <c r="L465" s="73"/>
      <c r="M465" s="73"/>
      <c r="N465" s="73"/>
      <c r="O465" s="3" t="str">
        <f>IF(C465="","",IF(C465=5,IFERROR(INDEX(code_Note1!$F$13:$F$16,MATCH(E465,code_Note1!$E$13:$E$16,0)),INDEX(code_Note1!$F$16,1)),IF(B465&lt;code_Note1!$D$21,"No",IFERROR(VLOOKUP(C465,code_Note1!$D$3:$G$8,3,FALSE),""))))</f>
        <v>No</v>
      </c>
      <c r="P465" s="3" t="s">
        <v>831</v>
      </c>
    </row>
    <row r="466" spans="1:16" ht="19.5" customHeight="1">
      <c r="A466" s="2" t="s">
        <v>854</v>
      </c>
      <c r="B466" s="38">
        <v>45876</v>
      </c>
      <c r="C466" s="1">
        <v>2</v>
      </c>
      <c r="D466" s="1" t="s">
        <v>838</v>
      </c>
      <c r="E466" s="1" t="s">
        <v>198</v>
      </c>
      <c r="F466" s="8" t="s">
        <v>198</v>
      </c>
      <c r="G466" s="6">
        <v>2000000</v>
      </c>
      <c r="H466" s="6"/>
      <c r="I466" s="6"/>
      <c r="J466" s="7"/>
      <c r="K466" s="73"/>
      <c r="L466" s="73"/>
      <c r="M466" s="73"/>
      <c r="N466" s="73"/>
      <c r="O466" s="3" t="str">
        <f>IF(C466="","",IF(C466=5,IFERROR(INDEX(code_Note1!$F$13:$F$16,MATCH(E466,code_Note1!$E$13:$E$16,0)),INDEX(code_Note1!$F$16,1)),IF(B466&lt;code_Note1!$D$21,"No",IFERROR(VLOOKUP(C466,code_Note1!$D$3:$G$8,3,FALSE),""))))</f>
        <v>No</v>
      </c>
      <c r="P466" s="3" t="s">
        <v>831</v>
      </c>
    </row>
    <row r="467" spans="1:16" ht="19.5" customHeight="1">
      <c r="A467" s="2" t="s">
        <v>854</v>
      </c>
      <c r="B467" s="38">
        <v>45878</v>
      </c>
      <c r="C467" s="1">
        <v>2</v>
      </c>
      <c r="D467" s="1" t="s">
        <v>838</v>
      </c>
      <c r="E467" s="1" t="s">
        <v>21</v>
      </c>
      <c r="F467" s="8" t="s">
        <v>417</v>
      </c>
      <c r="G467" s="6">
        <v>236000</v>
      </c>
      <c r="H467" s="6"/>
      <c r="I467" s="6"/>
      <c r="J467" s="7"/>
      <c r="K467" s="73"/>
      <c r="L467" s="73"/>
      <c r="M467" s="73"/>
      <c r="N467" s="73"/>
      <c r="O467" s="3" t="str">
        <f>IF(C467="","",IF(C467=5,IFERROR(INDEX(code_Note1!$F$13:$F$16,MATCH(E467,code_Note1!$E$13:$E$16,0)),INDEX(code_Note1!$F$16,1)),IF(B467&lt;code_Note1!$D$21,"No",IFERROR(VLOOKUP(C467,code_Note1!$D$3:$G$8,3,FALSE),""))))</f>
        <v>No</v>
      </c>
      <c r="P467" s="3" t="s">
        <v>831</v>
      </c>
    </row>
    <row r="468" spans="1:16" ht="19.5" customHeight="1">
      <c r="A468" s="2" t="s">
        <v>854</v>
      </c>
      <c r="B468" s="38">
        <v>45878</v>
      </c>
      <c r="C468" s="1">
        <v>2</v>
      </c>
      <c r="D468" s="1" t="s">
        <v>838</v>
      </c>
      <c r="E468" s="1" t="s">
        <v>46</v>
      </c>
      <c r="F468" s="8" t="s">
        <v>418</v>
      </c>
      <c r="G468" s="6">
        <v>2400000</v>
      </c>
      <c r="H468" s="6"/>
      <c r="I468" s="6"/>
      <c r="J468" s="7"/>
      <c r="K468" s="73"/>
      <c r="L468" s="73"/>
      <c r="M468" s="73"/>
      <c r="N468" s="73"/>
      <c r="O468" s="3" t="str">
        <f>IF(C468="","",IF(C468=5,IFERROR(INDEX(code_Note1!$F$13:$F$16,MATCH(E468,code_Note1!$E$13:$E$16,0)),INDEX(code_Note1!$F$16,1)),IF(B468&lt;code_Note1!$D$21,"No",IFERROR(VLOOKUP(C468,code_Note1!$D$3:$G$8,3,FALSE),""))))</f>
        <v>No</v>
      </c>
      <c r="P468" s="3" t="s">
        <v>831</v>
      </c>
    </row>
    <row r="469" spans="1:16" ht="19.5" customHeight="1">
      <c r="A469" s="2" t="s">
        <v>854</v>
      </c>
      <c r="B469" s="38">
        <v>45878</v>
      </c>
      <c r="C469" s="1">
        <v>2</v>
      </c>
      <c r="D469" s="1" t="s">
        <v>838</v>
      </c>
      <c r="E469" s="1" t="s">
        <v>21</v>
      </c>
      <c r="F469" s="8" t="s">
        <v>419</v>
      </c>
      <c r="G469" s="6">
        <v>0</v>
      </c>
      <c r="H469" s="6">
        <v>295</v>
      </c>
      <c r="I469" s="6"/>
      <c r="J469" s="7"/>
      <c r="K469" s="73"/>
      <c r="L469" s="73"/>
      <c r="M469" s="73"/>
      <c r="N469" s="73"/>
      <c r="O469" s="3" t="str">
        <f>IF(C469="","",IF(C469=5,IFERROR(INDEX(code_Note1!$F$13:$F$16,MATCH(E469,code_Note1!$E$13:$E$16,0)),INDEX(code_Note1!$F$16,1)),IF(B469&lt;code_Note1!$D$21,"No",IFERROR(VLOOKUP(C469,code_Note1!$D$3:$G$8,3,FALSE),""))))</f>
        <v>No</v>
      </c>
      <c r="P469" s="3" t="s">
        <v>831</v>
      </c>
    </row>
    <row r="470" spans="1:16" ht="19.5" customHeight="1">
      <c r="A470" s="2" t="s">
        <v>854</v>
      </c>
      <c r="B470" s="38">
        <v>45878</v>
      </c>
      <c r="C470" s="1">
        <v>2</v>
      </c>
      <c r="D470" s="1" t="s">
        <v>838</v>
      </c>
      <c r="E470" s="1" t="s">
        <v>21</v>
      </c>
      <c r="F470" s="8" t="s">
        <v>420</v>
      </c>
      <c r="G470" s="6">
        <v>0</v>
      </c>
      <c r="H470" s="6">
        <v>545</v>
      </c>
      <c r="I470" s="6"/>
      <c r="J470" s="7"/>
      <c r="K470" s="73"/>
      <c r="L470" s="73"/>
      <c r="M470" s="73"/>
      <c r="N470" s="73"/>
      <c r="O470" s="3" t="str">
        <f>IF(C470="","",IF(C470=5,IFERROR(INDEX(code_Note1!$F$13:$F$16,MATCH(E470,code_Note1!$E$13:$E$16,0)),INDEX(code_Note1!$F$16,1)),IF(B470&lt;code_Note1!$D$21,"No",IFERROR(VLOOKUP(C470,code_Note1!$D$3:$G$8,3,FALSE),""))))</f>
        <v>No</v>
      </c>
      <c r="P470" s="3" t="s">
        <v>831</v>
      </c>
    </row>
    <row r="471" spans="1:16" ht="19.5" customHeight="1">
      <c r="A471" s="2" t="s">
        <v>854</v>
      </c>
      <c r="B471" s="38">
        <v>45879</v>
      </c>
      <c r="C471" s="1">
        <v>1</v>
      </c>
      <c r="D471" s="1" t="s">
        <v>824</v>
      </c>
      <c r="E471" s="1" t="s">
        <v>293</v>
      </c>
      <c r="F471" s="8" t="s">
        <v>421</v>
      </c>
      <c r="G471" s="6">
        <v>2300000</v>
      </c>
      <c r="H471" s="6"/>
      <c r="I471" s="6"/>
      <c r="J471" s="7"/>
      <c r="K471" s="73"/>
      <c r="L471" s="73"/>
      <c r="M471" s="73"/>
      <c r="N471" s="73"/>
      <c r="O471" s="3" t="str">
        <f>IF(C471="","",IF(C471=5,IFERROR(INDEX(code_Note1!$F$13:$F$16,MATCH(E471,code_Note1!$E$13:$E$16,0)),INDEX(code_Note1!$F$16,1)),IF(B471&lt;code_Note1!$D$21,"No",IFERROR(VLOOKUP(C471,code_Note1!$D$3:$G$8,3,FALSE),""))))</f>
        <v>No</v>
      </c>
      <c r="P471" s="3" t="s">
        <v>832</v>
      </c>
    </row>
    <row r="472" spans="1:16" ht="19.5" customHeight="1">
      <c r="A472" s="2" t="s">
        <v>854</v>
      </c>
      <c r="B472" s="38">
        <v>45879</v>
      </c>
      <c r="C472" s="1">
        <v>1</v>
      </c>
      <c r="D472" s="1" t="s">
        <v>824</v>
      </c>
      <c r="E472" s="1" t="s">
        <v>291</v>
      </c>
      <c r="F472" s="8" t="s">
        <v>422</v>
      </c>
      <c r="G472" s="6">
        <v>350000</v>
      </c>
      <c r="H472" s="6"/>
      <c r="I472" s="6"/>
      <c r="J472" s="7"/>
      <c r="K472" s="73"/>
      <c r="L472" s="73"/>
      <c r="M472" s="73"/>
      <c r="N472" s="73"/>
      <c r="O472" s="3" t="str">
        <f>IF(C472="","",IF(C472=5,IFERROR(INDEX(code_Note1!$F$13:$F$16,MATCH(E472,code_Note1!$E$13:$E$16,0)),INDEX(code_Note1!$F$16,1)),IF(B472&lt;code_Note1!$D$21,"No",IFERROR(VLOOKUP(C472,code_Note1!$D$3:$G$8,3,FALSE),""))))</f>
        <v>No</v>
      </c>
      <c r="P472" s="3" t="s">
        <v>832</v>
      </c>
    </row>
    <row r="473" spans="1:16" ht="19.5" customHeight="1">
      <c r="A473" s="2" t="s">
        <v>854</v>
      </c>
      <c r="B473" s="38">
        <v>45879</v>
      </c>
      <c r="C473" s="1">
        <v>2</v>
      </c>
      <c r="D473" s="1" t="s">
        <v>838</v>
      </c>
      <c r="E473" s="1" t="s">
        <v>111</v>
      </c>
      <c r="F473" s="8" t="s">
        <v>423</v>
      </c>
      <c r="G473" s="6">
        <v>6000000</v>
      </c>
      <c r="H473" s="6">
        <v>0</v>
      </c>
      <c r="I473" s="6">
        <v>100</v>
      </c>
      <c r="J473" s="7"/>
      <c r="K473" s="73"/>
      <c r="L473" s="73"/>
      <c r="M473" s="73"/>
      <c r="N473" s="73"/>
      <c r="O473" s="3" t="str">
        <f>IF(C473="","",IF(C473=5,IFERROR(INDEX(code_Note1!$F$13:$F$16,MATCH(E473,code_Note1!$E$13:$E$16,0)),INDEX(code_Note1!$F$16,1)),IF(B473&lt;code_Note1!$D$21,"No",IFERROR(VLOOKUP(C473,code_Note1!$D$3:$G$8,3,FALSE),""))))</f>
        <v>No</v>
      </c>
      <c r="P473" s="3" t="s">
        <v>831</v>
      </c>
    </row>
    <row r="474" spans="1:16" ht="19.5" customHeight="1">
      <c r="A474" s="2" t="s">
        <v>854</v>
      </c>
      <c r="B474" s="38">
        <v>45879</v>
      </c>
      <c r="C474" s="1">
        <v>2</v>
      </c>
      <c r="D474" s="1" t="s">
        <v>838</v>
      </c>
      <c r="E474" s="1" t="s">
        <v>111</v>
      </c>
      <c r="F474" s="8" t="s">
        <v>423</v>
      </c>
      <c r="G474" s="6">
        <v>3295000</v>
      </c>
      <c r="H474" s="6"/>
      <c r="I474" s="6"/>
      <c r="J474" s="7"/>
      <c r="K474" s="73"/>
      <c r="L474" s="73"/>
      <c r="M474" s="73"/>
      <c r="N474" s="73"/>
      <c r="O474" s="3" t="str">
        <f>IF(C474="","",IF(C474=5,IFERROR(INDEX(code_Note1!$F$13:$F$16,MATCH(E474,code_Note1!$E$13:$E$16,0)),INDEX(code_Note1!$F$16,1)),IF(B474&lt;code_Note1!$D$21,"No",IFERROR(VLOOKUP(C474,code_Note1!$D$3:$G$8,3,FALSE),""))))</f>
        <v>No</v>
      </c>
      <c r="P474" s="3" t="s">
        <v>831</v>
      </c>
    </row>
    <row r="475" spans="1:16" ht="19.5" customHeight="1">
      <c r="A475" s="2" t="s">
        <v>854</v>
      </c>
      <c r="B475" s="38">
        <v>45879</v>
      </c>
      <c r="C475" s="1">
        <v>2</v>
      </c>
      <c r="D475" s="1" t="s">
        <v>838</v>
      </c>
      <c r="E475" s="1" t="s">
        <v>111</v>
      </c>
      <c r="F475" s="8" t="s">
        <v>155</v>
      </c>
      <c r="G475" s="6">
        <v>3000000</v>
      </c>
      <c r="H475" s="6"/>
      <c r="I475" s="6"/>
      <c r="J475" s="7"/>
      <c r="K475" s="73"/>
      <c r="L475" s="73"/>
      <c r="M475" s="73"/>
      <c r="N475" s="73"/>
      <c r="O475" s="3" t="str">
        <f>IF(C475="","",IF(C475=5,IFERROR(INDEX(code_Note1!$F$13:$F$16,MATCH(E475,code_Note1!$E$13:$E$16,0)),INDEX(code_Note1!$F$16,1)),IF(B475&lt;code_Note1!$D$21,"No",IFERROR(VLOOKUP(C475,code_Note1!$D$3:$G$8,3,FALSE),""))))</f>
        <v>No</v>
      </c>
      <c r="P475" s="3" t="s">
        <v>831</v>
      </c>
    </row>
    <row r="476" spans="1:16" ht="19.5" customHeight="1">
      <c r="A476" s="2" t="s">
        <v>854</v>
      </c>
      <c r="B476" s="38">
        <v>45879</v>
      </c>
      <c r="C476" s="1">
        <v>3</v>
      </c>
      <c r="D476" s="1" t="s">
        <v>823</v>
      </c>
      <c r="E476" s="1" t="s">
        <v>12</v>
      </c>
      <c r="F476" s="8" t="s">
        <v>210</v>
      </c>
      <c r="G476" s="6">
        <v>1780000</v>
      </c>
      <c r="H476" s="6"/>
      <c r="I476" s="6"/>
      <c r="J476" s="7"/>
      <c r="K476" s="73"/>
      <c r="L476" s="73"/>
      <c r="M476" s="73"/>
      <c r="N476" s="73"/>
      <c r="O476" s="3" t="str">
        <f>IF(C476="","",IF(C476=5,IFERROR(INDEX(code_Note1!$F$13:$F$16,MATCH(E476,code_Note1!$E$13:$E$16,0)),INDEX(code_Note1!$F$16,1)),IF(B476&lt;code_Note1!$D$21,"No",IFERROR(VLOOKUP(C476,code_Note1!$D$3:$G$8,3,FALSE),""))))</f>
        <v>No</v>
      </c>
      <c r="P476" s="3" t="s">
        <v>832</v>
      </c>
    </row>
    <row r="477" spans="1:16" ht="19.5" customHeight="1">
      <c r="A477" s="2" t="s">
        <v>854</v>
      </c>
      <c r="B477" s="38">
        <v>45879</v>
      </c>
      <c r="C477" s="1">
        <v>3</v>
      </c>
      <c r="D477" s="1" t="s">
        <v>823</v>
      </c>
      <c r="E477" s="1" t="s">
        <v>12</v>
      </c>
      <c r="F477" s="8" t="s">
        <v>424</v>
      </c>
      <c r="G477" s="6">
        <v>50000</v>
      </c>
      <c r="H477" s="6">
        <v>10000</v>
      </c>
      <c r="I477" s="6"/>
      <c r="J477" s="7"/>
      <c r="K477" s="73"/>
      <c r="L477" s="73"/>
      <c r="M477" s="73"/>
      <c r="N477" s="73"/>
      <c r="O477" s="3" t="str">
        <f>IF(C477="","",IF(C477=5,IFERROR(INDEX(code_Note1!$F$13:$F$16,MATCH(E477,code_Note1!$E$13:$E$16,0)),INDEX(code_Note1!$F$16,1)),IF(B477&lt;code_Note1!$D$21,"No",IFERROR(VLOOKUP(C477,code_Note1!$D$3:$G$8,3,FALSE),""))))</f>
        <v>No</v>
      </c>
      <c r="P477" s="3" t="s">
        <v>832</v>
      </c>
    </row>
    <row r="478" spans="1:16" ht="19.5" customHeight="1">
      <c r="A478" s="2" t="s">
        <v>854</v>
      </c>
      <c r="B478" s="38">
        <v>45880</v>
      </c>
      <c r="C478" s="1">
        <v>2</v>
      </c>
      <c r="D478" s="1" t="s">
        <v>838</v>
      </c>
      <c r="E478" s="1" t="s">
        <v>34</v>
      </c>
      <c r="F478" s="8" t="s">
        <v>425</v>
      </c>
      <c r="G478" s="6">
        <v>13050000</v>
      </c>
      <c r="H478" s="6"/>
      <c r="I478" s="6"/>
      <c r="J478" s="7"/>
      <c r="K478" s="73"/>
      <c r="L478" s="73"/>
      <c r="M478" s="73"/>
      <c r="N478" s="73"/>
      <c r="O478" s="3" t="str">
        <f>IF(C478="","",IF(C478=5,IFERROR(INDEX(code_Note1!$F$13:$F$16,MATCH(E478,code_Note1!$E$13:$E$16,0)),INDEX(code_Note1!$F$16,1)),IF(B478&lt;code_Note1!$D$21,"No",IFERROR(VLOOKUP(C478,code_Note1!$D$3:$G$8,3,FALSE),""))))</f>
        <v>No</v>
      </c>
      <c r="P478" s="3" t="s">
        <v>831</v>
      </c>
    </row>
    <row r="479" spans="1:16" ht="19.5" customHeight="1">
      <c r="A479" s="2" t="s">
        <v>854</v>
      </c>
      <c r="B479" s="38">
        <v>45880</v>
      </c>
      <c r="C479" s="1">
        <v>2</v>
      </c>
      <c r="D479" s="1" t="s">
        <v>838</v>
      </c>
      <c r="E479" s="1" t="s">
        <v>42</v>
      </c>
      <c r="F479" s="8" t="s">
        <v>42</v>
      </c>
      <c r="G479" s="6">
        <v>3300000</v>
      </c>
      <c r="H479" s="6"/>
      <c r="I479" s="6"/>
      <c r="J479" s="7"/>
      <c r="K479" s="73"/>
      <c r="L479" s="73"/>
      <c r="M479" s="73"/>
      <c r="N479" s="73"/>
      <c r="O479" s="3" t="str">
        <f>IF(C479="","",IF(C479=5,IFERROR(INDEX(code_Note1!$F$13:$F$16,MATCH(E479,code_Note1!$E$13:$E$16,0)),INDEX(code_Note1!$F$16,1)),IF(B479&lt;code_Note1!$D$21,"No",IFERROR(VLOOKUP(C479,code_Note1!$D$3:$G$8,3,FALSE),""))))</f>
        <v>No</v>
      </c>
      <c r="P479" s="3" t="s">
        <v>831</v>
      </c>
    </row>
    <row r="480" spans="1:16" ht="19.5" customHeight="1">
      <c r="A480" s="2" t="s">
        <v>854</v>
      </c>
      <c r="B480" s="38">
        <v>45880</v>
      </c>
      <c r="C480" s="1">
        <v>2</v>
      </c>
      <c r="D480" s="1" t="s">
        <v>838</v>
      </c>
      <c r="E480" s="1" t="s">
        <v>25</v>
      </c>
      <c r="F480" s="8" t="s">
        <v>426</v>
      </c>
      <c r="G480" s="6">
        <v>4900000</v>
      </c>
      <c r="H480" s="6"/>
      <c r="I480" s="6"/>
      <c r="J480" s="7"/>
      <c r="K480" s="73"/>
      <c r="L480" s="73"/>
      <c r="M480" s="73"/>
      <c r="N480" s="73"/>
      <c r="O480" s="3" t="str">
        <f>IF(C480="","",IF(C480=5,IFERROR(INDEX(code_Note1!$F$13:$F$16,MATCH(E480,code_Note1!$E$13:$E$16,0)),INDEX(code_Note1!$F$16,1)),IF(B480&lt;code_Note1!$D$21,"No",IFERROR(VLOOKUP(C480,code_Note1!$D$3:$G$8,3,FALSE),""))))</f>
        <v>No</v>
      </c>
      <c r="P480" s="3" t="s">
        <v>831</v>
      </c>
    </row>
    <row r="481" spans="1:16" ht="19.5" customHeight="1">
      <c r="A481" s="2" t="s">
        <v>854</v>
      </c>
      <c r="B481" s="38">
        <v>45880</v>
      </c>
      <c r="C481" s="1">
        <v>2</v>
      </c>
      <c r="D481" s="1" t="s">
        <v>838</v>
      </c>
      <c r="E481" s="1" t="s">
        <v>46</v>
      </c>
      <c r="F481" s="8" t="s">
        <v>427</v>
      </c>
      <c r="G481" s="6">
        <v>1200000</v>
      </c>
      <c r="H481" s="6"/>
      <c r="I481" s="6"/>
      <c r="J481" s="7"/>
      <c r="K481" s="73"/>
      <c r="L481" s="73"/>
      <c r="M481" s="73"/>
      <c r="N481" s="73"/>
      <c r="O481" s="3" t="str">
        <f>IF(C481="","",IF(C481=5,IFERROR(INDEX(code_Note1!$F$13:$F$16,MATCH(E481,code_Note1!$E$13:$E$16,0)),INDEX(code_Note1!$F$16,1)),IF(B481&lt;code_Note1!$D$21,"No",IFERROR(VLOOKUP(C481,code_Note1!$D$3:$G$8,3,FALSE),""))))</f>
        <v>No</v>
      </c>
      <c r="P481" s="3" t="s">
        <v>831</v>
      </c>
    </row>
    <row r="482" spans="1:16" ht="19.5" customHeight="1">
      <c r="A482" s="2" t="s">
        <v>854</v>
      </c>
      <c r="B482" s="38">
        <v>45883</v>
      </c>
      <c r="C482" s="1">
        <v>2</v>
      </c>
      <c r="D482" s="1" t="s">
        <v>838</v>
      </c>
      <c r="E482" s="1" t="s">
        <v>46</v>
      </c>
      <c r="F482" s="8" t="s">
        <v>130</v>
      </c>
      <c r="G482" s="6">
        <v>2000000</v>
      </c>
      <c r="H482" s="6"/>
      <c r="I482" s="6"/>
      <c r="J482" s="7"/>
      <c r="K482" s="73"/>
      <c r="L482" s="73"/>
      <c r="M482" s="73"/>
      <c r="N482" s="73"/>
      <c r="O482" s="3" t="str">
        <f>IF(C482="","",IF(C482=5,IFERROR(INDEX(code_Note1!$F$13:$F$16,MATCH(E482,code_Note1!$E$13:$E$16,0)),INDEX(code_Note1!$F$16,1)),IF(B482&lt;code_Note1!$D$21,"No",IFERROR(VLOOKUP(C482,code_Note1!$D$3:$G$8,3,FALSE),""))))</f>
        <v>No</v>
      </c>
      <c r="P482" s="3" t="s">
        <v>831</v>
      </c>
    </row>
    <row r="483" spans="1:16" ht="19.5" customHeight="1">
      <c r="A483" s="2" t="s">
        <v>854</v>
      </c>
      <c r="B483" s="38">
        <v>45883</v>
      </c>
      <c r="C483" s="1">
        <v>3</v>
      </c>
      <c r="D483" s="1" t="s">
        <v>823</v>
      </c>
      <c r="E483" s="1" t="s">
        <v>12</v>
      </c>
      <c r="F483" s="8" t="s">
        <v>428</v>
      </c>
      <c r="G483" s="6">
        <v>300000</v>
      </c>
      <c r="H483" s="6"/>
      <c r="I483" s="6"/>
      <c r="J483" s="7"/>
      <c r="K483" s="73"/>
      <c r="L483" s="73"/>
      <c r="M483" s="73"/>
      <c r="N483" s="73"/>
      <c r="O483" s="3" t="str">
        <f>IF(C483="","",IF(C483=5,IFERROR(INDEX(code_Note1!$F$13:$F$16,MATCH(E483,code_Note1!$E$13:$E$16,0)),INDEX(code_Note1!$F$16,1)),IF(B483&lt;code_Note1!$D$21,"No",IFERROR(VLOOKUP(C483,code_Note1!$D$3:$G$8,3,FALSE),""))))</f>
        <v>No</v>
      </c>
      <c r="P483" s="3" t="s">
        <v>832</v>
      </c>
    </row>
    <row r="484" spans="1:16" ht="19.5" customHeight="1">
      <c r="A484" s="2" t="s">
        <v>854</v>
      </c>
      <c r="B484" s="38">
        <v>45884</v>
      </c>
      <c r="C484" s="1">
        <v>2</v>
      </c>
      <c r="D484" s="1" t="s">
        <v>838</v>
      </c>
      <c r="E484" s="1" t="s">
        <v>42</v>
      </c>
      <c r="F484" s="8" t="s">
        <v>42</v>
      </c>
      <c r="G484" s="6">
        <v>3300000</v>
      </c>
      <c r="H484" s="6"/>
      <c r="I484" s="6"/>
      <c r="J484" s="7"/>
      <c r="K484" s="73"/>
      <c r="L484" s="73"/>
      <c r="M484" s="73"/>
      <c r="N484" s="73"/>
      <c r="O484" s="3" t="str">
        <f>IF(C484="","",IF(C484=5,IFERROR(INDEX(code_Note1!$F$13:$F$16,MATCH(E484,code_Note1!$E$13:$E$16,0)),INDEX(code_Note1!$F$16,1)),IF(B484&lt;code_Note1!$D$21,"No",IFERROR(VLOOKUP(C484,code_Note1!$D$3:$G$8,3,FALSE),""))))</f>
        <v>No</v>
      </c>
      <c r="P484" s="3" t="s">
        <v>831</v>
      </c>
    </row>
    <row r="485" spans="1:16" ht="19.5" customHeight="1">
      <c r="A485" s="2" t="s">
        <v>854</v>
      </c>
      <c r="B485" s="38">
        <v>45885</v>
      </c>
      <c r="C485" s="1">
        <v>2</v>
      </c>
      <c r="D485" s="1" t="s">
        <v>838</v>
      </c>
      <c r="E485" s="1" t="s">
        <v>221</v>
      </c>
      <c r="F485" s="8" t="s">
        <v>429</v>
      </c>
      <c r="G485" s="6">
        <v>0</v>
      </c>
      <c r="H485" s="6">
        <v>4950</v>
      </c>
      <c r="I485" s="6"/>
      <c r="J485" s="7"/>
      <c r="K485" s="73"/>
      <c r="L485" s="73"/>
      <c r="M485" s="73"/>
      <c r="N485" s="73"/>
      <c r="O485" s="3" t="str">
        <f>IF(C485="","",IF(C485=5,IFERROR(INDEX(code_Note1!$F$13:$F$16,MATCH(E485,code_Note1!$E$13:$E$16,0)),INDEX(code_Note1!$F$16,1)),IF(B485&lt;code_Note1!$D$21,"No",IFERROR(VLOOKUP(C485,code_Note1!$D$3:$G$8,3,FALSE),""))))</f>
        <v>No</v>
      </c>
      <c r="P485" s="3" t="s">
        <v>831</v>
      </c>
    </row>
    <row r="486" spans="1:16" ht="19.5" customHeight="1">
      <c r="A486" s="2" t="s">
        <v>854</v>
      </c>
      <c r="B486" s="38">
        <v>45885</v>
      </c>
      <c r="C486" s="1">
        <v>2</v>
      </c>
      <c r="D486" s="1" t="s">
        <v>838</v>
      </c>
      <c r="E486" s="1" t="s">
        <v>111</v>
      </c>
      <c r="F486" s="8" t="s">
        <v>430</v>
      </c>
      <c r="G486" s="6">
        <v>2860000</v>
      </c>
      <c r="H486" s="6"/>
      <c r="I486" s="6"/>
      <c r="J486" s="7"/>
      <c r="K486" s="73"/>
      <c r="L486" s="73"/>
      <c r="M486" s="73"/>
      <c r="N486" s="73"/>
      <c r="O486" s="3" t="str">
        <f>IF(C486="","",IF(C486=5,IFERROR(INDEX(code_Note1!$F$13:$F$16,MATCH(E486,code_Note1!$E$13:$E$16,0)),INDEX(code_Note1!$F$16,1)),IF(B486&lt;code_Note1!$D$21,"No",IFERROR(VLOOKUP(C486,code_Note1!$D$3:$G$8,3,FALSE),""))))</f>
        <v>No</v>
      </c>
      <c r="P486" s="3" t="s">
        <v>831</v>
      </c>
    </row>
    <row r="487" spans="1:16" ht="19.5" customHeight="1">
      <c r="A487" s="2" t="s">
        <v>854</v>
      </c>
      <c r="B487" s="38">
        <v>45885</v>
      </c>
      <c r="C487" s="1">
        <v>2</v>
      </c>
      <c r="D487" s="1" t="s">
        <v>838</v>
      </c>
      <c r="E487" s="1" t="s">
        <v>19</v>
      </c>
      <c r="F487" s="8" t="s">
        <v>431</v>
      </c>
      <c r="G487" s="6">
        <v>2400000</v>
      </c>
      <c r="H487" s="6"/>
      <c r="I487" s="6"/>
      <c r="J487" s="7"/>
      <c r="K487" s="73"/>
      <c r="L487" s="73"/>
      <c r="M487" s="73"/>
      <c r="N487" s="73"/>
      <c r="O487" s="3" t="str">
        <f>IF(C487="","",IF(C487=5,IFERROR(INDEX(code_Note1!$F$13:$F$16,MATCH(E487,code_Note1!$E$13:$E$16,0)),INDEX(code_Note1!$F$16,1)),IF(B487&lt;code_Note1!$D$21,"No",IFERROR(VLOOKUP(C487,code_Note1!$D$3:$G$8,3,FALSE),""))))</f>
        <v>No</v>
      </c>
      <c r="P487" s="3" t="s">
        <v>831</v>
      </c>
    </row>
    <row r="488" spans="1:16" ht="19.5" customHeight="1">
      <c r="A488" s="2" t="s">
        <v>854</v>
      </c>
      <c r="B488" s="38">
        <v>45885</v>
      </c>
      <c r="C488" s="1">
        <v>3</v>
      </c>
      <c r="D488" s="1" t="s">
        <v>823</v>
      </c>
      <c r="E488" s="1" t="s">
        <v>12</v>
      </c>
      <c r="F488" s="8" t="s">
        <v>432</v>
      </c>
      <c r="G488" s="6">
        <v>245000</v>
      </c>
      <c r="H488" s="6"/>
      <c r="I488" s="6"/>
      <c r="J488" s="7"/>
      <c r="K488" s="73"/>
      <c r="L488" s="73"/>
      <c r="M488" s="73"/>
      <c r="N488" s="73"/>
      <c r="O488" s="3" t="str">
        <f>IF(C488="","",IF(C488=5,IFERROR(INDEX(code_Note1!$F$13:$F$16,MATCH(E488,code_Note1!$E$13:$E$16,0)),INDEX(code_Note1!$F$16,1)),IF(B488&lt;code_Note1!$D$21,"No",IFERROR(VLOOKUP(C488,code_Note1!$D$3:$G$8,3,FALSE),""))))</f>
        <v>No</v>
      </c>
      <c r="P488" s="3" t="s">
        <v>832</v>
      </c>
    </row>
    <row r="489" spans="1:16" ht="19.5" customHeight="1">
      <c r="A489" s="2" t="s">
        <v>854</v>
      </c>
      <c r="B489" s="38">
        <v>45885</v>
      </c>
      <c r="C489" s="1">
        <v>3</v>
      </c>
      <c r="D489" s="1" t="s">
        <v>823</v>
      </c>
      <c r="E489" s="1" t="s">
        <v>12</v>
      </c>
      <c r="F489" s="8" t="s">
        <v>118</v>
      </c>
      <c r="G489" s="6">
        <v>170000</v>
      </c>
      <c r="H489" s="6"/>
      <c r="I489" s="6"/>
      <c r="J489" s="7"/>
      <c r="K489" s="73"/>
      <c r="L489" s="73"/>
      <c r="M489" s="73"/>
      <c r="N489" s="73"/>
      <c r="O489" s="3" t="str">
        <f>IF(C489="","",IF(C489=5,IFERROR(INDEX(code_Note1!$F$13:$F$16,MATCH(E489,code_Note1!$E$13:$E$16,0)),INDEX(code_Note1!$F$16,1)),IF(B489&lt;code_Note1!$D$21,"No",IFERROR(VLOOKUP(C489,code_Note1!$D$3:$G$8,3,FALSE),""))))</f>
        <v>No</v>
      </c>
      <c r="P489" s="3" t="s">
        <v>832</v>
      </c>
    </row>
    <row r="490" spans="1:16" ht="19.5" customHeight="1">
      <c r="A490" s="2" t="s">
        <v>854</v>
      </c>
      <c r="B490" s="38">
        <v>45885</v>
      </c>
      <c r="C490" s="1">
        <v>3</v>
      </c>
      <c r="D490" s="1" t="s">
        <v>823</v>
      </c>
      <c r="E490" s="1" t="s">
        <v>12</v>
      </c>
      <c r="F490" s="8" t="s">
        <v>433</v>
      </c>
      <c r="G490" s="6">
        <v>100000</v>
      </c>
      <c r="H490" s="6"/>
      <c r="I490" s="6"/>
      <c r="J490" s="7"/>
      <c r="K490" s="73"/>
      <c r="L490" s="73"/>
      <c r="M490" s="73"/>
      <c r="N490" s="73"/>
      <c r="O490" s="3" t="str">
        <f>IF(C490="","",IF(C490=5,IFERROR(INDEX(code_Note1!$F$13:$F$16,MATCH(E490,code_Note1!$E$13:$E$16,0)),INDEX(code_Note1!$F$16,1)),IF(B490&lt;code_Note1!$D$21,"No",IFERROR(VLOOKUP(C490,code_Note1!$D$3:$G$8,3,FALSE),""))))</f>
        <v>No</v>
      </c>
      <c r="P490" s="3" t="s">
        <v>832</v>
      </c>
    </row>
    <row r="491" spans="1:16" ht="19.5" customHeight="1">
      <c r="A491" s="2" t="s">
        <v>854</v>
      </c>
      <c r="B491" s="38">
        <v>45885</v>
      </c>
      <c r="C491" s="1">
        <v>2</v>
      </c>
      <c r="D491" s="1" t="s">
        <v>838</v>
      </c>
      <c r="E491" s="1" t="s">
        <v>46</v>
      </c>
      <c r="F491" s="8" t="s">
        <v>130</v>
      </c>
      <c r="G491" s="6">
        <v>2400000</v>
      </c>
      <c r="H491" s="6"/>
      <c r="I491" s="6"/>
      <c r="J491" s="7"/>
      <c r="K491" s="73"/>
      <c r="L491" s="73"/>
      <c r="M491" s="73"/>
      <c r="N491" s="73"/>
      <c r="O491" s="3" t="str">
        <f>IF(C491="","",IF(C491=5,IFERROR(INDEX(code_Note1!$F$13:$F$16,MATCH(E491,code_Note1!$E$13:$E$16,0)),INDEX(code_Note1!$F$16,1)),IF(B491&lt;code_Note1!$D$21,"No",IFERROR(VLOOKUP(C491,code_Note1!$D$3:$G$8,3,FALSE),""))))</f>
        <v>No</v>
      </c>
      <c r="P491" s="3" t="s">
        <v>831</v>
      </c>
    </row>
    <row r="492" spans="1:16" ht="19.5" customHeight="1">
      <c r="A492" s="2" t="s">
        <v>854</v>
      </c>
      <c r="B492" s="38">
        <v>45886</v>
      </c>
      <c r="C492" s="1">
        <v>2</v>
      </c>
      <c r="D492" s="1" t="s">
        <v>838</v>
      </c>
      <c r="E492" s="1" t="s">
        <v>46</v>
      </c>
      <c r="F492" s="8" t="s">
        <v>130</v>
      </c>
      <c r="G492" s="6">
        <v>1000000</v>
      </c>
      <c r="H492" s="6"/>
      <c r="I492" s="6"/>
      <c r="J492" s="7"/>
      <c r="K492" s="73"/>
      <c r="L492" s="73"/>
      <c r="M492" s="73"/>
      <c r="N492" s="73"/>
      <c r="O492" s="3" t="str">
        <f>IF(C492="","",IF(C492=5,IFERROR(INDEX(code_Note1!$F$13:$F$16,MATCH(E492,code_Note1!$E$13:$E$16,0)),INDEX(code_Note1!$F$16,1)),IF(B492&lt;code_Note1!$D$21,"No",IFERROR(VLOOKUP(C492,code_Note1!$D$3:$G$8,3,FALSE),""))))</f>
        <v>No</v>
      </c>
      <c r="P492" s="3" t="s">
        <v>831</v>
      </c>
    </row>
    <row r="493" spans="1:16" ht="19.5" customHeight="1">
      <c r="A493" s="2" t="s">
        <v>854</v>
      </c>
      <c r="B493" s="38">
        <v>45887</v>
      </c>
      <c r="C493" s="1">
        <v>2</v>
      </c>
      <c r="D493" s="1" t="s">
        <v>838</v>
      </c>
      <c r="E493" s="1" t="s">
        <v>42</v>
      </c>
      <c r="F493" s="8" t="s">
        <v>42</v>
      </c>
      <c r="G493" s="6">
        <v>4850000</v>
      </c>
      <c r="H493" s="6"/>
      <c r="I493" s="6"/>
      <c r="J493" s="7"/>
      <c r="K493" s="73"/>
      <c r="L493" s="73"/>
      <c r="M493" s="73"/>
      <c r="N493" s="73"/>
      <c r="O493" s="3" t="str">
        <f>IF(C493="","",IF(C493=5,IFERROR(INDEX(code_Note1!$F$13:$F$16,MATCH(E493,code_Note1!$E$13:$E$16,0)),INDEX(code_Note1!$F$16,1)),IF(B493&lt;code_Note1!$D$21,"No",IFERROR(VLOOKUP(C493,code_Note1!$D$3:$G$8,3,FALSE),""))))</f>
        <v>No</v>
      </c>
      <c r="P493" s="3" t="s">
        <v>831</v>
      </c>
    </row>
    <row r="494" spans="1:16" ht="19.5" customHeight="1">
      <c r="A494" s="2" t="s">
        <v>854</v>
      </c>
      <c r="B494" s="38">
        <v>45888</v>
      </c>
      <c r="C494" s="1">
        <v>1</v>
      </c>
      <c r="D494" s="1" t="s">
        <v>824</v>
      </c>
      <c r="E494" s="1" t="s">
        <v>291</v>
      </c>
      <c r="F494" s="8" t="s">
        <v>434</v>
      </c>
      <c r="G494" s="6">
        <v>350000</v>
      </c>
      <c r="H494" s="6"/>
      <c r="I494" s="6"/>
      <c r="J494" s="7"/>
      <c r="K494" s="73"/>
      <c r="L494" s="73"/>
      <c r="M494" s="73"/>
      <c r="N494" s="73"/>
      <c r="O494" s="3" t="str">
        <f>IF(C494="","",IF(C494=5,IFERROR(INDEX(code_Note1!$F$13:$F$16,MATCH(E494,code_Note1!$E$13:$E$16,0)),INDEX(code_Note1!$F$16,1)),IF(B494&lt;code_Note1!$D$21,"No",IFERROR(VLOOKUP(C494,code_Note1!$D$3:$G$8,3,FALSE),""))))</f>
        <v>No</v>
      </c>
      <c r="P494" s="3" t="s">
        <v>832</v>
      </c>
    </row>
    <row r="495" spans="1:16" ht="19.5" customHeight="1">
      <c r="A495" s="2" t="s">
        <v>854</v>
      </c>
      <c r="B495" s="38">
        <v>45889</v>
      </c>
      <c r="C495" s="1">
        <v>2</v>
      </c>
      <c r="D495" s="1" t="s">
        <v>838</v>
      </c>
      <c r="E495" s="1" t="s">
        <v>46</v>
      </c>
      <c r="F495" s="8" t="s">
        <v>435</v>
      </c>
      <c r="G495" s="6">
        <v>1500000</v>
      </c>
      <c r="H495" s="6"/>
      <c r="I495" s="6"/>
      <c r="J495" s="7"/>
      <c r="K495" s="73"/>
      <c r="L495" s="73"/>
      <c r="M495" s="73"/>
      <c r="N495" s="73"/>
      <c r="O495" s="3" t="str">
        <f>IF(C495="","",IF(C495=5,IFERROR(INDEX(code_Note1!$F$13:$F$16,MATCH(E495,code_Note1!$E$13:$E$16,0)),INDEX(code_Note1!$F$16,1)),IF(B495&lt;code_Note1!$D$21,"No",IFERROR(VLOOKUP(C495,code_Note1!$D$3:$G$8,3,FALSE),""))))</f>
        <v>No</v>
      </c>
      <c r="P495" s="3" t="s">
        <v>831</v>
      </c>
    </row>
    <row r="496" spans="1:16" ht="19.5" customHeight="1">
      <c r="A496" s="2" t="s">
        <v>854</v>
      </c>
      <c r="B496" s="38">
        <v>45889</v>
      </c>
      <c r="C496" s="1">
        <v>3</v>
      </c>
      <c r="D496" s="1" t="s">
        <v>823</v>
      </c>
      <c r="E496" s="1" t="s">
        <v>44</v>
      </c>
      <c r="F496" s="8" t="s">
        <v>43</v>
      </c>
      <c r="G496" s="6">
        <v>216000</v>
      </c>
      <c r="H496" s="6"/>
      <c r="I496" s="6"/>
      <c r="J496" s="7"/>
      <c r="K496" s="73"/>
      <c r="L496" s="73"/>
      <c r="M496" s="73"/>
      <c r="N496" s="73"/>
      <c r="O496" s="3" t="str">
        <f>IF(C496="","",IF(C496=5,IFERROR(INDEX(code_Note1!$F$13:$F$16,MATCH(E496,code_Note1!$E$13:$E$16,0)),INDEX(code_Note1!$F$16,1)),IF(B496&lt;code_Note1!$D$21,"No",IFERROR(VLOOKUP(C496,code_Note1!$D$3:$G$8,3,FALSE),""))))</f>
        <v>No</v>
      </c>
      <c r="P496" s="3" t="s">
        <v>832</v>
      </c>
    </row>
    <row r="497" spans="1:16" ht="19.5" customHeight="1">
      <c r="A497" s="2" t="s">
        <v>854</v>
      </c>
      <c r="B497" s="38">
        <v>45890</v>
      </c>
      <c r="C497" s="1">
        <v>1</v>
      </c>
      <c r="D497" s="1" t="s">
        <v>824</v>
      </c>
      <c r="E497" s="1" t="s">
        <v>293</v>
      </c>
      <c r="F497" s="8" t="s">
        <v>436</v>
      </c>
      <c r="G497" s="6">
        <v>3450000</v>
      </c>
      <c r="H497" s="6"/>
      <c r="I497" s="6"/>
      <c r="J497" s="7"/>
      <c r="K497" s="73"/>
      <c r="L497" s="73"/>
      <c r="M497" s="73"/>
      <c r="N497" s="73"/>
      <c r="O497" s="3" t="str">
        <f>IF(C497="","",IF(C497=5,IFERROR(INDEX(code_Note1!$F$13:$F$16,MATCH(E497,code_Note1!$E$13:$E$16,0)),INDEX(code_Note1!$F$16,1)),IF(B497&lt;code_Note1!$D$21,"No",IFERROR(VLOOKUP(C497,code_Note1!$D$3:$G$8,3,FALSE),""))))</f>
        <v>No</v>
      </c>
      <c r="P497" s="3" t="s">
        <v>832</v>
      </c>
    </row>
    <row r="498" spans="1:16" ht="19.5" customHeight="1">
      <c r="A498" s="2" t="s">
        <v>854</v>
      </c>
      <c r="B498" s="38">
        <v>45891</v>
      </c>
      <c r="C498" s="1">
        <v>2</v>
      </c>
      <c r="D498" s="1" t="s">
        <v>838</v>
      </c>
      <c r="E498" s="1" t="s">
        <v>34</v>
      </c>
      <c r="F498" s="8" t="s">
        <v>437</v>
      </c>
      <c r="G498" s="6">
        <v>3045000</v>
      </c>
      <c r="H498" s="6"/>
      <c r="I498" s="6"/>
      <c r="J498" s="7"/>
      <c r="K498" s="73"/>
      <c r="L498" s="73"/>
      <c r="M498" s="73"/>
      <c r="N498" s="73"/>
      <c r="O498" s="3" t="str">
        <f>IF(C498="","",IF(C498=5,IFERROR(INDEX(code_Note1!$F$13:$F$16,MATCH(E498,code_Note1!$E$13:$E$16,0)),INDEX(code_Note1!$F$16,1)),IF(B498&lt;code_Note1!$D$21,"No",IFERROR(VLOOKUP(C498,code_Note1!$D$3:$G$8,3,FALSE),""))))</f>
        <v>No</v>
      </c>
      <c r="P498" s="3" t="s">
        <v>831</v>
      </c>
    </row>
    <row r="499" spans="1:16" ht="19.5" customHeight="1">
      <c r="A499" s="2" t="s">
        <v>854</v>
      </c>
      <c r="B499" s="38">
        <v>45892</v>
      </c>
      <c r="C499" s="1">
        <v>2</v>
      </c>
      <c r="D499" s="1" t="s">
        <v>838</v>
      </c>
      <c r="E499" s="1" t="s">
        <v>25</v>
      </c>
      <c r="F499" s="8" t="s">
        <v>25</v>
      </c>
      <c r="G499" s="6">
        <v>4900000</v>
      </c>
      <c r="H499" s="6"/>
      <c r="I499" s="6"/>
      <c r="J499" s="7"/>
      <c r="K499" s="73"/>
      <c r="L499" s="73"/>
      <c r="M499" s="73"/>
      <c r="N499" s="73"/>
      <c r="O499" s="3" t="str">
        <f>IF(C499="","",IF(C499=5,IFERROR(INDEX(code_Note1!$F$13:$F$16,MATCH(E499,code_Note1!$E$13:$E$16,0)),INDEX(code_Note1!$F$16,1)),IF(B499&lt;code_Note1!$D$21,"No",IFERROR(VLOOKUP(C499,code_Note1!$D$3:$G$8,3,FALSE),""))))</f>
        <v>No</v>
      </c>
      <c r="P499" s="3" t="s">
        <v>831</v>
      </c>
    </row>
    <row r="500" spans="1:16" ht="19.5" customHeight="1">
      <c r="A500" s="2" t="s">
        <v>854</v>
      </c>
      <c r="B500" s="38">
        <v>45892</v>
      </c>
      <c r="C500" s="1">
        <v>2</v>
      </c>
      <c r="D500" s="1" t="s">
        <v>838</v>
      </c>
      <c r="E500" s="1" t="s">
        <v>46</v>
      </c>
      <c r="F500" s="8" t="s">
        <v>130</v>
      </c>
      <c r="G500" s="6">
        <v>16350000</v>
      </c>
      <c r="H500" s="6"/>
      <c r="I500" s="6"/>
      <c r="J500" s="7"/>
      <c r="K500" s="73"/>
      <c r="L500" s="73"/>
      <c r="M500" s="73"/>
      <c r="N500" s="73"/>
      <c r="O500" s="3" t="str">
        <f>IF(C500="","",IF(C500=5,IFERROR(INDEX(code_Note1!$F$13:$F$16,MATCH(E500,code_Note1!$E$13:$E$16,0)),INDEX(code_Note1!$F$16,1)),IF(B500&lt;code_Note1!$D$21,"No",IFERROR(VLOOKUP(C500,code_Note1!$D$3:$G$8,3,FALSE),""))))</f>
        <v>No</v>
      </c>
      <c r="P500" s="3" t="s">
        <v>831</v>
      </c>
    </row>
    <row r="501" spans="1:16" ht="19.5" customHeight="1">
      <c r="A501" s="2" t="s">
        <v>854</v>
      </c>
      <c r="B501" s="38">
        <v>45892</v>
      </c>
      <c r="C501" s="1">
        <v>2</v>
      </c>
      <c r="D501" s="1" t="s">
        <v>838</v>
      </c>
      <c r="E501" s="1" t="s">
        <v>281</v>
      </c>
      <c r="F501" s="8" t="s">
        <v>438</v>
      </c>
      <c r="G501" s="6">
        <v>0</v>
      </c>
      <c r="H501" s="6">
        <v>20000</v>
      </c>
      <c r="I501" s="6"/>
      <c r="J501" s="7"/>
      <c r="K501" s="73"/>
      <c r="L501" s="73"/>
      <c r="M501" s="73"/>
      <c r="N501" s="73"/>
      <c r="O501" s="3" t="str">
        <f>IF(C501="","",IF(C501=5,IFERROR(INDEX(code_Note1!$F$13:$F$16,MATCH(E501,code_Note1!$E$13:$E$16,0)),INDEX(code_Note1!$F$16,1)),IF(B501&lt;code_Note1!$D$21,"No",IFERROR(VLOOKUP(C501,code_Note1!$D$3:$G$8,3,FALSE),""))))</f>
        <v>No</v>
      </c>
      <c r="P501" s="3" t="s">
        <v>831</v>
      </c>
    </row>
    <row r="502" spans="1:16" ht="19.5" customHeight="1">
      <c r="A502" s="2" t="s">
        <v>854</v>
      </c>
      <c r="B502" s="38">
        <v>45892</v>
      </c>
      <c r="C502" s="1">
        <v>3</v>
      </c>
      <c r="D502" s="1" t="s">
        <v>823</v>
      </c>
      <c r="E502" s="1" t="s">
        <v>147</v>
      </c>
      <c r="F502" s="8" t="s">
        <v>348</v>
      </c>
      <c r="G502" s="6">
        <v>720000</v>
      </c>
      <c r="H502" s="6"/>
      <c r="I502" s="6"/>
      <c r="J502" s="7"/>
      <c r="K502" s="73"/>
      <c r="L502" s="73"/>
      <c r="M502" s="73"/>
      <c r="N502" s="73"/>
      <c r="O502" s="3" t="str">
        <f>IF(C502="","",IF(C502=5,IFERROR(INDEX(code_Note1!$F$13:$F$16,MATCH(E502,code_Note1!$E$13:$E$16,0)),INDEX(code_Note1!$F$16,1)),IF(B502&lt;code_Note1!$D$21,"No",IFERROR(VLOOKUP(C502,code_Note1!$D$3:$G$8,3,FALSE),""))))</f>
        <v>No</v>
      </c>
      <c r="P502" s="3" t="s">
        <v>832</v>
      </c>
    </row>
    <row r="503" spans="1:16" ht="19.5" customHeight="1">
      <c r="A503" s="2" t="s">
        <v>854</v>
      </c>
      <c r="B503" s="38">
        <v>45897</v>
      </c>
      <c r="C503" s="1">
        <v>2</v>
      </c>
      <c r="D503" s="1" t="s">
        <v>838</v>
      </c>
      <c r="E503" s="1" t="s">
        <v>46</v>
      </c>
      <c r="F503" s="8" t="s">
        <v>130</v>
      </c>
      <c r="G503" s="6">
        <v>600000</v>
      </c>
      <c r="H503" s="6"/>
      <c r="I503" s="6"/>
      <c r="J503" s="7"/>
      <c r="K503" s="73"/>
      <c r="L503" s="73"/>
      <c r="M503" s="73"/>
      <c r="N503" s="73"/>
      <c r="O503" s="3" t="str">
        <f>IF(C503="","",IF(C503=5,IFERROR(INDEX(code_Note1!$F$13:$F$16,MATCH(E503,code_Note1!$E$13:$E$16,0)),INDEX(code_Note1!$F$16,1)),IF(B503&lt;code_Note1!$D$21,"No",IFERROR(VLOOKUP(C503,code_Note1!$D$3:$G$8,3,FALSE),""))))</f>
        <v>No</v>
      </c>
      <c r="P503" s="3" t="s">
        <v>831</v>
      </c>
    </row>
    <row r="504" spans="1:16" ht="19.5" customHeight="1">
      <c r="A504" s="2" t="s">
        <v>854</v>
      </c>
      <c r="B504" s="38">
        <v>45897</v>
      </c>
      <c r="C504" s="1">
        <v>2</v>
      </c>
      <c r="D504" s="1" t="s">
        <v>838</v>
      </c>
      <c r="E504" s="1" t="s">
        <v>21</v>
      </c>
      <c r="F504" s="8" t="s">
        <v>439</v>
      </c>
      <c r="G504" s="6">
        <v>380000</v>
      </c>
      <c r="H504" s="6"/>
      <c r="I504" s="6"/>
      <c r="J504" s="7"/>
      <c r="K504" s="73"/>
      <c r="L504" s="73"/>
      <c r="M504" s="73"/>
      <c r="N504" s="73"/>
      <c r="O504" s="3" t="str">
        <f>IF(C504="","",IF(C504=5,IFERROR(INDEX(code_Note1!$F$13:$F$16,MATCH(E504,code_Note1!$E$13:$E$16,0)),INDEX(code_Note1!$F$16,1)),IF(B504&lt;code_Note1!$D$21,"No",IFERROR(VLOOKUP(C504,code_Note1!$D$3:$G$8,3,FALSE),""))))</f>
        <v>No</v>
      </c>
      <c r="P504" s="3" t="s">
        <v>831</v>
      </c>
    </row>
    <row r="505" spans="1:16" ht="19.5" customHeight="1">
      <c r="A505" s="2" t="s">
        <v>854</v>
      </c>
      <c r="B505" s="38">
        <v>45898</v>
      </c>
      <c r="C505" s="1">
        <v>2</v>
      </c>
      <c r="D505" s="1" t="s">
        <v>838</v>
      </c>
      <c r="E505" s="1" t="s">
        <v>21</v>
      </c>
      <c r="F505" s="8" t="s">
        <v>440</v>
      </c>
      <c r="G505" s="6">
        <v>4250000</v>
      </c>
      <c r="H505" s="6"/>
      <c r="I505" s="6"/>
      <c r="J505" s="7"/>
      <c r="K505" s="73"/>
      <c r="L505" s="73"/>
      <c r="M505" s="73"/>
      <c r="N505" s="73"/>
      <c r="O505" s="3" t="str">
        <f>IF(C505="","",IF(C505=5,IFERROR(INDEX(code_Note1!$F$13:$F$16,MATCH(E505,code_Note1!$E$13:$E$16,0)),INDEX(code_Note1!$F$16,1)),IF(B505&lt;code_Note1!$D$21,"No",IFERROR(VLOOKUP(C505,code_Note1!$D$3:$G$8,3,FALSE),""))))</f>
        <v>No</v>
      </c>
      <c r="P505" s="3" t="s">
        <v>831</v>
      </c>
    </row>
    <row r="506" spans="1:16" ht="19.5" customHeight="1">
      <c r="A506" s="2" t="s">
        <v>854</v>
      </c>
      <c r="B506" s="38">
        <v>45898</v>
      </c>
      <c r="C506" s="1">
        <v>2</v>
      </c>
      <c r="D506" s="1" t="s">
        <v>838</v>
      </c>
      <c r="E506" s="1" t="s">
        <v>34</v>
      </c>
      <c r="F506" s="8" t="s">
        <v>34</v>
      </c>
      <c r="G506" s="6">
        <v>11695000</v>
      </c>
      <c r="H506" s="6"/>
      <c r="I506" s="6"/>
      <c r="J506" s="7"/>
      <c r="K506" s="73"/>
      <c r="L506" s="73"/>
      <c r="M506" s="73"/>
      <c r="N506" s="73"/>
      <c r="O506" s="3" t="str">
        <f>IF(C506="","",IF(C506=5,IFERROR(INDEX(code_Note1!$F$13:$F$16,MATCH(E506,code_Note1!$E$13:$E$16,0)),INDEX(code_Note1!$F$16,1)),IF(B506&lt;code_Note1!$D$21,"No",IFERROR(VLOOKUP(C506,code_Note1!$D$3:$G$8,3,FALSE),""))))</f>
        <v>No</v>
      </c>
      <c r="P506" s="3" t="s">
        <v>831</v>
      </c>
    </row>
    <row r="507" spans="1:16" ht="19.5" customHeight="1">
      <c r="A507" s="2" t="s">
        <v>854</v>
      </c>
      <c r="B507" s="38">
        <v>45900</v>
      </c>
      <c r="C507" s="1">
        <v>3</v>
      </c>
      <c r="D507" s="1" t="s">
        <v>823</v>
      </c>
      <c r="E507" s="1" t="s">
        <v>12</v>
      </c>
      <c r="F507" s="8" t="s">
        <v>12</v>
      </c>
      <c r="G507" s="6">
        <v>1008000</v>
      </c>
      <c r="H507" s="6"/>
      <c r="I507" s="6"/>
      <c r="J507" s="7"/>
      <c r="K507" s="73"/>
      <c r="L507" s="73"/>
      <c r="M507" s="73"/>
      <c r="N507" s="73"/>
      <c r="O507" s="3" t="str">
        <f>IF(C507="","",IF(C507=5,IFERROR(INDEX(code_Note1!$F$13:$F$16,MATCH(E507,code_Note1!$E$13:$E$16,0)),INDEX(code_Note1!$F$16,1)),IF(B507&lt;code_Note1!$D$21,"No",IFERROR(VLOOKUP(C507,code_Note1!$D$3:$G$8,3,FALSE),""))))</f>
        <v>No</v>
      </c>
      <c r="P507" s="3" t="s">
        <v>832</v>
      </c>
    </row>
    <row r="508" spans="1:16" ht="19.5" customHeight="1">
      <c r="A508" s="2" t="s">
        <v>854</v>
      </c>
      <c r="B508" s="38">
        <v>45901</v>
      </c>
      <c r="C508" s="1">
        <v>2</v>
      </c>
      <c r="D508" s="1" t="s">
        <v>838</v>
      </c>
      <c r="E508" s="1" t="s">
        <v>46</v>
      </c>
      <c r="F508" s="8" t="s">
        <v>130</v>
      </c>
      <c r="G508" s="6">
        <v>1200000</v>
      </c>
      <c r="H508" s="6"/>
      <c r="I508" s="6"/>
      <c r="J508" s="7"/>
      <c r="K508" s="73"/>
      <c r="L508" s="73"/>
      <c r="M508" s="73"/>
      <c r="N508" s="73"/>
      <c r="O508" s="3" t="str">
        <f>IF(C508="","",IF(C508=5,IFERROR(INDEX(code_Note1!$F$13:$F$16,MATCH(E508,code_Note1!$E$13:$E$16,0)),INDEX(code_Note1!$F$16,1)),IF(B508&lt;code_Note1!$D$21,"No",IFERROR(VLOOKUP(C508,code_Note1!$D$3:$G$8,3,FALSE),""))))</f>
        <v>No</v>
      </c>
      <c r="P508" s="3" t="s">
        <v>831</v>
      </c>
    </row>
    <row r="509" spans="1:16" ht="19.5" customHeight="1">
      <c r="A509" s="2" t="s">
        <v>854</v>
      </c>
      <c r="B509" s="38">
        <v>45901</v>
      </c>
      <c r="C509" s="1">
        <v>1</v>
      </c>
      <c r="D509" s="1" t="s">
        <v>824</v>
      </c>
      <c r="E509" s="27" t="s">
        <v>62</v>
      </c>
      <c r="F509" s="8" t="s">
        <v>63</v>
      </c>
      <c r="G509" s="6">
        <v>2186000</v>
      </c>
      <c r="H509" s="6"/>
      <c r="I509" s="6"/>
      <c r="J509" s="7"/>
      <c r="K509" s="73"/>
      <c r="L509" s="73"/>
      <c r="M509" s="73"/>
      <c r="N509" s="73"/>
      <c r="O509" s="3" t="str">
        <f>IF(C509="","",IF(C509=5,IFERROR(INDEX(code_Note1!$F$13:$F$16,MATCH(E509,code_Note1!$E$13:$E$16,0)),INDEX(code_Note1!$F$16,1)),IF(B509&lt;code_Note1!$D$21,"No",IFERROR(VLOOKUP(C509,code_Note1!$D$3:$G$8,3,FALSE),""))))</f>
        <v>No</v>
      </c>
      <c r="P509" s="3" t="s">
        <v>832</v>
      </c>
    </row>
    <row r="510" spans="1:16" ht="19.5" customHeight="1">
      <c r="A510" s="2" t="s">
        <v>854</v>
      </c>
      <c r="B510" s="38">
        <v>45902</v>
      </c>
      <c r="C510" s="1">
        <v>2</v>
      </c>
      <c r="D510" s="1" t="s">
        <v>838</v>
      </c>
      <c r="E510" s="1" t="s">
        <v>388</v>
      </c>
      <c r="F510" s="8" t="s">
        <v>441</v>
      </c>
      <c r="G510" s="6">
        <v>328500000</v>
      </c>
      <c r="H510" s="6"/>
      <c r="I510" s="6"/>
      <c r="J510" s="7"/>
      <c r="K510" s="73"/>
      <c r="L510" s="73"/>
      <c r="M510" s="73"/>
      <c r="N510" s="73"/>
      <c r="O510" s="3" t="str">
        <f>IF(C510="","",IF(C510=5,IFERROR(INDEX(code_Note1!$F$13:$F$16,MATCH(E510,code_Note1!$E$13:$E$16,0)),INDEX(code_Note1!$F$16,1)),IF(B510&lt;code_Note1!$D$21,"No",IFERROR(VLOOKUP(C510,code_Note1!$D$3:$G$8,3,FALSE),""))))</f>
        <v>No</v>
      </c>
      <c r="P510" s="3" t="s">
        <v>831</v>
      </c>
    </row>
    <row r="511" spans="1:16" ht="19.5" customHeight="1">
      <c r="A511" s="2" t="s">
        <v>854</v>
      </c>
      <c r="B511" s="38">
        <v>45902</v>
      </c>
      <c r="C511" s="1">
        <v>2</v>
      </c>
      <c r="D511" s="1" t="s">
        <v>838</v>
      </c>
      <c r="E511" s="1" t="s">
        <v>34</v>
      </c>
      <c r="F511" s="8" t="s">
        <v>34</v>
      </c>
      <c r="G511" s="6">
        <v>0</v>
      </c>
      <c r="H511" s="6">
        <v>4800</v>
      </c>
      <c r="I511" s="6"/>
      <c r="J511" s="7"/>
      <c r="K511" s="73"/>
      <c r="L511" s="73"/>
      <c r="M511" s="73"/>
      <c r="N511" s="73"/>
      <c r="O511" s="3" t="str">
        <f>IF(C511="","",IF(C511=5,IFERROR(INDEX(code_Note1!$F$13:$F$16,MATCH(E511,code_Note1!$E$13:$E$16,0)),INDEX(code_Note1!$F$16,1)),IF(B511&lt;code_Note1!$D$21,"No",IFERROR(VLOOKUP(C511,code_Note1!$D$3:$G$8,3,FALSE),""))))</f>
        <v>No</v>
      </c>
      <c r="P511" s="3" t="s">
        <v>831</v>
      </c>
    </row>
    <row r="512" spans="1:16" ht="19.5" customHeight="1">
      <c r="A512" s="2" t="s">
        <v>854</v>
      </c>
      <c r="B512" s="38">
        <v>45903</v>
      </c>
      <c r="C512" s="1">
        <v>2</v>
      </c>
      <c r="D512" s="1" t="s">
        <v>838</v>
      </c>
      <c r="E512" s="1" t="s">
        <v>21</v>
      </c>
      <c r="F512" s="8" t="s">
        <v>442</v>
      </c>
      <c r="G512" s="6">
        <v>700000</v>
      </c>
      <c r="H512" s="6"/>
      <c r="I512" s="6"/>
      <c r="J512" s="7"/>
      <c r="K512" s="73"/>
      <c r="L512" s="73"/>
      <c r="M512" s="73"/>
      <c r="N512" s="73"/>
      <c r="O512" s="3" t="str">
        <f>IF(C512="","",IF(C512=5,IFERROR(INDEX(code_Note1!$F$13:$F$16,MATCH(E512,code_Note1!$E$13:$E$16,0)),INDEX(code_Note1!$F$16,1)),IF(B512&lt;code_Note1!$D$21,"No",IFERROR(VLOOKUP(C512,code_Note1!$D$3:$G$8,3,FALSE),""))))</f>
        <v>No</v>
      </c>
      <c r="P512" s="3" t="s">
        <v>831</v>
      </c>
    </row>
    <row r="513" spans="1:16" ht="19.5" customHeight="1">
      <c r="A513" s="2" t="s">
        <v>854</v>
      </c>
      <c r="B513" s="38">
        <v>45904</v>
      </c>
      <c r="C513" s="1">
        <v>2</v>
      </c>
      <c r="D513" s="1" t="s">
        <v>838</v>
      </c>
      <c r="E513" s="1" t="s">
        <v>21</v>
      </c>
      <c r="F513" s="8" t="s">
        <v>409</v>
      </c>
      <c r="G513" s="6">
        <v>60000</v>
      </c>
      <c r="H513" s="6"/>
      <c r="I513" s="6"/>
      <c r="J513" s="7"/>
      <c r="K513" s="73"/>
      <c r="L513" s="73"/>
      <c r="M513" s="73"/>
      <c r="N513" s="73"/>
      <c r="O513" s="3" t="str">
        <f>IF(C513="","",IF(C513=5,IFERROR(INDEX(code_Note1!$F$13:$F$16,MATCH(E513,code_Note1!$E$13:$E$16,0)),INDEX(code_Note1!$F$16,1)),IF(B513&lt;code_Note1!$D$21,"No",IFERROR(VLOOKUP(C513,code_Note1!$D$3:$G$8,3,FALSE),""))))</f>
        <v>No</v>
      </c>
      <c r="P513" s="3" t="s">
        <v>831</v>
      </c>
    </row>
    <row r="514" spans="1:16" ht="19.5" customHeight="1">
      <c r="A514" s="2" t="s">
        <v>854</v>
      </c>
      <c r="B514" s="38">
        <v>45905</v>
      </c>
      <c r="C514" s="1">
        <v>2</v>
      </c>
      <c r="D514" s="1" t="s">
        <v>838</v>
      </c>
      <c r="E514" s="1" t="s">
        <v>388</v>
      </c>
      <c r="F514" s="8" t="s">
        <v>443</v>
      </c>
      <c r="G514" s="6">
        <v>251931000</v>
      </c>
      <c r="H514" s="6"/>
      <c r="I514" s="6"/>
      <c r="J514" s="7"/>
      <c r="K514" s="73"/>
      <c r="L514" s="73"/>
      <c r="M514" s="73"/>
      <c r="N514" s="73"/>
      <c r="O514" s="3" t="str">
        <f>IF(C514="","",IF(C514=5,IFERROR(INDEX(code_Note1!$F$13:$F$16,MATCH(E514,code_Note1!$E$13:$E$16,0)),INDEX(code_Note1!$F$16,1)),IF(B514&lt;code_Note1!$D$21,"No",IFERROR(VLOOKUP(C514,code_Note1!$D$3:$G$8,3,FALSE),""))))</f>
        <v>No</v>
      </c>
      <c r="P514" s="3" t="s">
        <v>831</v>
      </c>
    </row>
    <row r="515" spans="1:16" ht="19.5" customHeight="1">
      <c r="A515" s="2" t="s">
        <v>854</v>
      </c>
      <c r="B515" s="38">
        <v>45905</v>
      </c>
      <c r="C515" s="1">
        <v>2</v>
      </c>
      <c r="D515" s="1" t="s">
        <v>838</v>
      </c>
      <c r="E515" s="1" t="s">
        <v>34</v>
      </c>
      <c r="F515" s="8" t="s">
        <v>34</v>
      </c>
      <c r="G515" s="6">
        <v>5046000</v>
      </c>
      <c r="H515" s="6"/>
      <c r="I515" s="6"/>
      <c r="J515" s="7"/>
      <c r="K515" s="73"/>
      <c r="L515" s="73"/>
      <c r="M515" s="73"/>
      <c r="N515" s="73"/>
      <c r="O515" s="3" t="str">
        <f>IF(C515="","",IF(C515=5,IFERROR(INDEX(code_Note1!$F$13:$F$16,MATCH(E515,code_Note1!$E$13:$E$16,0)),INDEX(code_Note1!$F$16,1)),IF(B515&lt;code_Note1!$D$21,"No",IFERROR(VLOOKUP(C515,code_Note1!$D$3:$G$8,3,FALSE),""))))</f>
        <v>No</v>
      </c>
      <c r="P515" s="3" t="s">
        <v>831</v>
      </c>
    </row>
    <row r="516" spans="1:16" ht="19.5" customHeight="1">
      <c r="A516" s="2" t="s">
        <v>854</v>
      </c>
      <c r="B516" s="38">
        <v>45905</v>
      </c>
      <c r="C516" s="1">
        <v>3</v>
      </c>
      <c r="D516" s="1" t="s">
        <v>823</v>
      </c>
      <c r="E516" s="1" t="s">
        <v>147</v>
      </c>
      <c r="F516" s="8" t="s">
        <v>444</v>
      </c>
      <c r="G516" s="6">
        <v>860000</v>
      </c>
      <c r="H516" s="6"/>
      <c r="I516" s="6"/>
      <c r="J516" s="7"/>
      <c r="K516" s="73"/>
      <c r="L516" s="73"/>
      <c r="M516" s="73"/>
      <c r="N516" s="73"/>
      <c r="O516" s="3" t="str">
        <f>IF(C516="","",IF(C516=5,IFERROR(INDEX(code_Note1!$F$13:$F$16,MATCH(E516,code_Note1!$E$13:$E$16,0)),INDEX(code_Note1!$F$16,1)),IF(B516&lt;code_Note1!$D$21,"No",IFERROR(VLOOKUP(C516,code_Note1!$D$3:$G$8,3,FALSE),""))))</f>
        <v>No</v>
      </c>
      <c r="P516" s="3" t="s">
        <v>832</v>
      </c>
    </row>
    <row r="517" spans="1:16" ht="19.5" customHeight="1">
      <c r="A517" s="2" t="s">
        <v>854</v>
      </c>
      <c r="B517" s="38">
        <v>45905</v>
      </c>
      <c r="C517" s="1">
        <v>3</v>
      </c>
      <c r="D517" s="1" t="s">
        <v>823</v>
      </c>
      <c r="E517" s="1" t="s">
        <v>147</v>
      </c>
      <c r="F517" s="8" t="s">
        <v>445</v>
      </c>
      <c r="G517" s="6">
        <v>700000</v>
      </c>
      <c r="H517" s="6"/>
      <c r="I517" s="6"/>
      <c r="J517" s="7"/>
      <c r="K517" s="73"/>
      <c r="L517" s="73"/>
      <c r="M517" s="73"/>
      <c r="N517" s="73"/>
      <c r="O517" s="3" t="str">
        <f>IF(C517="","",IF(C517=5,IFERROR(INDEX(code_Note1!$F$13:$F$16,MATCH(E517,code_Note1!$E$13:$E$16,0)),INDEX(code_Note1!$F$16,1)),IF(B517&lt;code_Note1!$D$21,"No",IFERROR(VLOOKUP(C517,code_Note1!$D$3:$G$8,3,FALSE),""))))</f>
        <v>No</v>
      </c>
      <c r="P517" s="3" t="s">
        <v>832</v>
      </c>
    </row>
    <row r="518" spans="1:16" ht="19.5" customHeight="1">
      <c r="A518" s="2" t="s">
        <v>854</v>
      </c>
      <c r="B518" s="38">
        <v>45906</v>
      </c>
      <c r="C518" s="1">
        <v>2</v>
      </c>
      <c r="D518" s="1" t="s">
        <v>838</v>
      </c>
      <c r="E518" s="1" t="s">
        <v>51</v>
      </c>
      <c r="F518" s="8" t="s">
        <v>446</v>
      </c>
      <c r="G518" s="6">
        <v>0</v>
      </c>
      <c r="H518" s="6">
        <v>0</v>
      </c>
      <c r="I518" s="6">
        <v>260</v>
      </c>
      <c r="J518" s="7"/>
      <c r="K518" s="73"/>
      <c r="L518" s="73"/>
      <c r="M518" s="73"/>
      <c r="N518" s="73"/>
      <c r="O518" s="3" t="str">
        <f>IF(C518="","",IF(C518=5,IFERROR(INDEX(code_Note1!$F$13:$F$16,MATCH(E518,code_Note1!$E$13:$E$16,0)),INDEX(code_Note1!$F$16,1)),IF(B518&lt;code_Note1!$D$21,"No",IFERROR(VLOOKUP(C518,code_Note1!$D$3:$G$8,3,FALSE),""))))</f>
        <v>No</v>
      </c>
      <c r="P518" s="3" t="s">
        <v>831</v>
      </c>
    </row>
    <row r="519" spans="1:16" ht="19.5" customHeight="1">
      <c r="A519" s="2" t="s">
        <v>854</v>
      </c>
      <c r="B519" s="38">
        <v>45906</v>
      </c>
      <c r="C519" s="1">
        <v>2</v>
      </c>
      <c r="D519" s="1" t="s">
        <v>838</v>
      </c>
      <c r="E519" s="1" t="s">
        <v>46</v>
      </c>
      <c r="F519" s="8" t="s">
        <v>130</v>
      </c>
      <c r="G519" s="6">
        <v>1000000</v>
      </c>
      <c r="H519" s="6"/>
      <c r="I519" s="6"/>
      <c r="J519" s="7"/>
      <c r="K519" s="73"/>
      <c r="L519" s="73"/>
      <c r="M519" s="73"/>
      <c r="N519" s="73"/>
      <c r="O519" s="3" t="str">
        <f>IF(C519="","",IF(C519=5,IFERROR(INDEX(code_Note1!$F$13:$F$16,MATCH(E519,code_Note1!$E$13:$E$16,0)),INDEX(code_Note1!$F$16,1)),IF(B519&lt;code_Note1!$D$21,"No",IFERROR(VLOOKUP(C519,code_Note1!$D$3:$G$8,3,FALSE),""))))</f>
        <v>No</v>
      </c>
      <c r="P519" s="3" t="s">
        <v>831</v>
      </c>
    </row>
    <row r="520" spans="1:16" ht="19.5" customHeight="1">
      <c r="A520" s="2" t="s">
        <v>854</v>
      </c>
      <c r="B520" s="38">
        <v>45907</v>
      </c>
      <c r="C520" s="1">
        <v>2</v>
      </c>
      <c r="D520" s="1" t="s">
        <v>838</v>
      </c>
      <c r="E520" s="1" t="s">
        <v>51</v>
      </c>
      <c r="F520" s="8" t="s">
        <v>122</v>
      </c>
      <c r="G520" s="6">
        <v>275000</v>
      </c>
      <c r="H520" s="6"/>
      <c r="I520" s="6"/>
      <c r="J520" s="7"/>
      <c r="K520" s="73"/>
      <c r="L520" s="73"/>
      <c r="M520" s="73"/>
      <c r="N520" s="73"/>
      <c r="O520" s="3" t="str">
        <f>IF(C520="","",IF(C520=5,IFERROR(INDEX(code_Note1!$F$13:$F$16,MATCH(E520,code_Note1!$E$13:$E$16,0)),INDEX(code_Note1!$F$16,1)),IF(B520&lt;code_Note1!$D$21,"No",IFERROR(VLOOKUP(C520,code_Note1!$D$3:$G$8,3,FALSE),""))))</f>
        <v>No</v>
      </c>
      <c r="P520" s="3" t="s">
        <v>831</v>
      </c>
    </row>
    <row r="521" spans="1:16" ht="19.5" customHeight="1">
      <c r="A521" s="2" t="s">
        <v>854</v>
      </c>
      <c r="B521" s="38">
        <v>45907</v>
      </c>
      <c r="C521" s="1">
        <v>2</v>
      </c>
      <c r="D521" s="1" t="s">
        <v>838</v>
      </c>
      <c r="E521" s="1" t="s">
        <v>51</v>
      </c>
      <c r="F521" s="8" t="s">
        <v>447</v>
      </c>
      <c r="G521" s="6">
        <v>75000</v>
      </c>
      <c r="H521" s="6"/>
      <c r="I521" s="6"/>
      <c r="J521" s="7"/>
      <c r="K521" s="73"/>
      <c r="L521" s="73"/>
      <c r="M521" s="73"/>
      <c r="N521" s="73"/>
      <c r="O521" s="3" t="str">
        <f>IF(C521="","",IF(C521=5,IFERROR(INDEX(code_Note1!$F$13:$F$16,MATCH(E521,code_Note1!$E$13:$E$16,0)),INDEX(code_Note1!$F$16,1)),IF(B521&lt;code_Note1!$D$21,"No",IFERROR(VLOOKUP(C521,code_Note1!$D$3:$G$8,3,FALSE),""))))</f>
        <v>No</v>
      </c>
      <c r="P521" s="3" t="s">
        <v>831</v>
      </c>
    </row>
    <row r="522" spans="1:16" ht="19.5" customHeight="1">
      <c r="A522" s="2" t="s">
        <v>854</v>
      </c>
      <c r="B522" s="38">
        <v>45908</v>
      </c>
      <c r="C522" s="1">
        <v>2</v>
      </c>
      <c r="D522" s="1" t="s">
        <v>838</v>
      </c>
      <c r="E522" s="1" t="s">
        <v>21</v>
      </c>
      <c r="F522" s="8" t="s">
        <v>448</v>
      </c>
      <c r="G522" s="6">
        <v>0</v>
      </c>
      <c r="H522" s="6">
        <v>3263.75</v>
      </c>
      <c r="I522" s="6"/>
      <c r="J522" s="7"/>
      <c r="K522" s="73"/>
      <c r="L522" s="73"/>
      <c r="M522" s="73"/>
      <c r="N522" s="73"/>
      <c r="O522" s="3" t="str">
        <f>IF(C522="","",IF(C522=5,IFERROR(INDEX(code_Note1!$F$13:$F$16,MATCH(E522,code_Note1!$E$13:$E$16,0)),INDEX(code_Note1!$F$16,1)),IF(B522&lt;code_Note1!$D$21,"No",IFERROR(VLOOKUP(C522,code_Note1!$D$3:$G$8,3,FALSE),""))))</f>
        <v>No</v>
      </c>
      <c r="P522" s="3" t="s">
        <v>831</v>
      </c>
    </row>
    <row r="523" spans="1:16" ht="19.5" customHeight="1">
      <c r="A523" s="2" t="s">
        <v>854</v>
      </c>
      <c r="B523" s="38">
        <v>45908</v>
      </c>
      <c r="C523" s="1">
        <v>2</v>
      </c>
      <c r="D523" s="1" t="s">
        <v>838</v>
      </c>
      <c r="E523" s="1" t="s">
        <v>21</v>
      </c>
      <c r="F523" s="8" t="s">
        <v>449</v>
      </c>
      <c r="G523" s="6">
        <v>0</v>
      </c>
      <c r="H523" s="6">
        <v>12039</v>
      </c>
      <c r="I523" s="6"/>
      <c r="J523" s="7"/>
      <c r="K523" s="73"/>
      <c r="L523" s="73"/>
      <c r="M523" s="73"/>
      <c r="N523" s="73"/>
      <c r="O523" s="3" t="str">
        <f>IF(C523="","",IF(C523=5,IFERROR(INDEX(code_Note1!$F$13:$F$16,MATCH(E523,code_Note1!$E$13:$E$16,0)),INDEX(code_Note1!$F$16,1)),IF(B523&lt;code_Note1!$D$21,"No",IFERROR(VLOOKUP(C523,code_Note1!$D$3:$G$8,3,FALSE),""))))</f>
        <v>No</v>
      </c>
      <c r="P523" s="3" t="s">
        <v>831</v>
      </c>
    </row>
    <row r="524" spans="1:16" ht="19.5" customHeight="1">
      <c r="A524" s="2" t="s">
        <v>854</v>
      </c>
      <c r="B524" s="38">
        <v>45908</v>
      </c>
      <c r="C524" s="1">
        <v>2</v>
      </c>
      <c r="D524" s="1" t="s">
        <v>838</v>
      </c>
      <c r="E524" s="1" t="s">
        <v>21</v>
      </c>
      <c r="F524" s="8" t="s">
        <v>449</v>
      </c>
      <c r="G524" s="6">
        <v>0</v>
      </c>
      <c r="H524" s="6">
        <v>11540</v>
      </c>
      <c r="I524" s="6"/>
      <c r="J524" s="7"/>
      <c r="K524" s="73"/>
      <c r="L524" s="73"/>
      <c r="M524" s="73"/>
      <c r="N524" s="73"/>
      <c r="O524" s="3" t="str">
        <f>IF(C524="","",IF(C524=5,IFERROR(INDEX(code_Note1!$F$13:$F$16,MATCH(E524,code_Note1!$E$13:$E$16,0)),INDEX(code_Note1!$F$16,1)),IF(B524&lt;code_Note1!$D$21,"No",IFERROR(VLOOKUP(C524,code_Note1!$D$3:$G$8,3,FALSE),""))))</f>
        <v>No</v>
      </c>
      <c r="P524" s="3" t="s">
        <v>831</v>
      </c>
    </row>
    <row r="525" spans="1:16" ht="19.5" customHeight="1">
      <c r="A525" s="2" t="s">
        <v>854</v>
      </c>
      <c r="B525" s="38">
        <v>45908</v>
      </c>
      <c r="C525" s="1">
        <v>2</v>
      </c>
      <c r="D525" s="1" t="s">
        <v>838</v>
      </c>
      <c r="E525" s="1" t="s">
        <v>111</v>
      </c>
      <c r="F525" s="8" t="s">
        <v>155</v>
      </c>
      <c r="G525" s="6">
        <v>0</v>
      </c>
      <c r="H525" s="6">
        <v>1779</v>
      </c>
      <c r="I525" s="6"/>
      <c r="J525" s="7"/>
      <c r="K525" s="73"/>
      <c r="L525" s="73"/>
      <c r="M525" s="73"/>
      <c r="N525" s="73"/>
      <c r="O525" s="3" t="str">
        <f>IF(C525="","",IF(C525=5,IFERROR(INDEX(code_Note1!$F$13:$F$16,MATCH(E525,code_Note1!$E$13:$E$16,0)),INDEX(code_Note1!$F$16,1)),IF(B525&lt;code_Note1!$D$21,"No",IFERROR(VLOOKUP(C525,code_Note1!$D$3:$G$8,3,FALSE),""))))</f>
        <v>No</v>
      </c>
      <c r="P525" s="3" t="s">
        <v>831</v>
      </c>
    </row>
    <row r="526" spans="1:16" ht="19.5" customHeight="1">
      <c r="A526" s="2" t="s">
        <v>854</v>
      </c>
      <c r="B526" s="38">
        <v>45908</v>
      </c>
      <c r="C526" s="1">
        <v>1</v>
      </c>
      <c r="D526" s="1" t="s">
        <v>824</v>
      </c>
      <c r="E526" s="1" t="s">
        <v>56</v>
      </c>
      <c r="F526" s="8" t="s">
        <v>450</v>
      </c>
      <c r="G526" s="6">
        <v>400000</v>
      </c>
      <c r="H526" s="6"/>
      <c r="I526" s="6"/>
      <c r="J526" s="7"/>
      <c r="K526" s="73"/>
      <c r="L526" s="73"/>
      <c r="M526" s="73"/>
      <c r="N526" s="73"/>
      <c r="O526" s="3" t="str">
        <f>IF(C526="","",IF(C526=5,IFERROR(INDEX(code_Note1!$F$13:$F$16,MATCH(E526,code_Note1!$E$13:$E$16,0)),INDEX(code_Note1!$F$16,1)),IF(B526&lt;code_Note1!$D$21,"No",IFERROR(VLOOKUP(C526,code_Note1!$D$3:$G$8,3,FALSE),""))))</f>
        <v>No</v>
      </c>
      <c r="P526" s="3" t="s">
        <v>832</v>
      </c>
    </row>
    <row r="527" spans="1:16" ht="19.5" customHeight="1">
      <c r="A527" s="2" t="s">
        <v>854</v>
      </c>
      <c r="B527" s="38">
        <v>45909</v>
      </c>
      <c r="C527" s="1">
        <v>2</v>
      </c>
      <c r="D527" s="1" t="s">
        <v>838</v>
      </c>
      <c r="E527" s="1" t="s">
        <v>51</v>
      </c>
      <c r="F527" s="8" t="s">
        <v>446</v>
      </c>
      <c r="G527" s="6">
        <v>0</v>
      </c>
      <c r="H527" s="6">
        <v>0</v>
      </c>
      <c r="I527" s="6">
        <v>168</v>
      </c>
      <c r="J527" s="7"/>
      <c r="K527" s="73"/>
      <c r="L527" s="73"/>
      <c r="M527" s="73"/>
      <c r="N527" s="73"/>
      <c r="O527" s="3" t="str">
        <f>IF(C527="","",IF(C527=5,IFERROR(INDEX(code_Note1!$F$13:$F$16,MATCH(E527,code_Note1!$E$13:$E$16,0)),INDEX(code_Note1!$F$16,1)),IF(B527&lt;code_Note1!$D$21,"No",IFERROR(VLOOKUP(C527,code_Note1!$D$3:$G$8,3,FALSE),""))))</f>
        <v>No</v>
      </c>
      <c r="P527" s="3" t="s">
        <v>831</v>
      </c>
    </row>
    <row r="528" spans="1:16" ht="19.5" customHeight="1">
      <c r="A528" s="2" t="s">
        <v>854</v>
      </c>
      <c r="B528" s="38">
        <v>45909</v>
      </c>
      <c r="C528" s="1">
        <v>2</v>
      </c>
      <c r="D528" s="1" t="s">
        <v>838</v>
      </c>
      <c r="E528" s="1" t="s">
        <v>46</v>
      </c>
      <c r="F528" s="8" t="s">
        <v>130</v>
      </c>
      <c r="G528" s="6">
        <v>2100000</v>
      </c>
      <c r="H528" s="6"/>
      <c r="I528" s="6"/>
      <c r="J528" s="7"/>
      <c r="K528" s="73"/>
      <c r="L528" s="73"/>
      <c r="M528" s="73"/>
      <c r="N528" s="73"/>
      <c r="O528" s="3" t="str">
        <f>IF(C528="","",IF(C528=5,IFERROR(INDEX(code_Note1!$F$13:$F$16,MATCH(E528,code_Note1!$E$13:$E$16,0)),INDEX(code_Note1!$F$16,1)),IF(B528&lt;code_Note1!$D$21,"No",IFERROR(VLOOKUP(C528,code_Note1!$D$3:$G$8,3,FALSE),""))))</f>
        <v>No</v>
      </c>
      <c r="P528" s="3" t="s">
        <v>831</v>
      </c>
    </row>
    <row r="529" spans="1:16" ht="19.5" customHeight="1">
      <c r="A529" s="2" t="s">
        <v>854</v>
      </c>
      <c r="B529" s="38">
        <v>45909</v>
      </c>
      <c r="C529" s="1">
        <v>2</v>
      </c>
      <c r="D529" s="1" t="s">
        <v>838</v>
      </c>
      <c r="E529" s="1" t="s">
        <v>46</v>
      </c>
      <c r="F529" s="8" t="s">
        <v>365</v>
      </c>
      <c r="G529" s="6">
        <v>4250000</v>
      </c>
      <c r="H529" s="6"/>
      <c r="I529" s="6"/>
      <c r="J529" s="7"/>
      <c r="K529" s="73"/>
      <c r="L529" s="73"/>
      <c r="M529" s="73"/>
      <c r="N529" s="73"/>
      <c r="O529" s="3" t="str">
        <f>IF(C529="","",IF(C529=5,IFERROR(INDEX(code_Note1!$F$13:$F$16,MATCH(E529,code_Note1!$E$13:$E$16,0)),INDEX(code_Note1!$F$16,1)),IF(B529&lt;code_Note1!$D$21,"No",IFERROR(VLOOKUP(C529,code_Note1!$D$3:$G$8,3,FALSE),""))))</f>
        <v>No</v>
      </c>
      <c r="P529" s="3" t="s">
        <v>831</v>
      </c>
    </row>
    <row r="530" spans="1:16" ht="19.5" customHeight="1">
      <c r="A530" s="2" t="s">
        <v>854</v>
      </c>
      <c r="B530" s="38">
        <v>45909</v>
      </c>
      <c r="C530" s="1">
        <v>2</v>
      </c>
      <c r="D530" s="1" t="s">
        <v>838</v>
      </c>
      <c r="E530" s="1" t="s">
        <v>46</v>
      </c>
      <c r="F530" s="8" t="s">
        <v>451</v>
      </c>
      <c r="G530" s="6">
        <v>16000000</v>
      </c>
      <c r="H530" s="6"/>
      <c r="I530" s="6"/>
      <c r="J530" s="7"/>
      <c r="K530" s="73"/>
      <c r="L530" s="73"/>
      <c r="M530" s="73"/>
      <c r="N530" s="73"/>
      <c r="O530" s="3" t="str">
        <f>IF(C530="","",IF(C530=5,IFERROR(INDEX(code_Note1!$F$13:$F$16,MATCH(E530,code_Note1!$E$13:$E$16,0)),INDEX(code_Note1!$F$16,1)),IF(B530&lt;code_Note1!$D$21,"No",IFERROR(VLOOKUP(C530,code_Note1!$D$3:$G$8,3,FALSE),""))))</f>
        <v>No</v>
      </c>
      <c r="P530" s="3" t="s">
        <v>831</v>
      </c>
    </row>
    <row r="531" spans="1:16" ht="19.5" customHeight="1">
      <c r="A531" s="2" t="s">
        <v>854</v>
      </c>
      <c r="B531" s="38">
        <v>45909</v>
      </c>
      <c r="C531" s="1">
        <v>2</v>
      </c>
      <c r="D531" s="1" t="s">
        <v>838</v>
      </c>
      <c r="E531" s="1" t="s">
        <v>51</v>
      </c>
      <c r="F531" s="8" t="s">
        <v>446</v>
      </c>
      <c r="G531" s="6">
        <v>545000</v>
      </c>
      <c r="H531" s="6"/>
      <c r="I531" s="6"/>
      <c r="J531" s="7"/>
      <c r="K531" s="73"/>
      <c r="L531" s="73"/>
      <c r="M531" s="73"/>
      <c r="N531" s="73"/>
      <c r="O531" s="3" t="str">
        <f>IF(C531="","",IF(C531=5,IFERROR(INDEX(code_Note1!$F$13:$F$16,MATCH(E531,code_Note1!$E$13:$E$16,0)),INDEX(code_Note1!$F$16,1)),IF(B531&lt;code_Note1!$D$21,"No",IFERROR(VLOOKUP(C531,code_Note1!$D$3:$G$8,3,FALSE),""))))</f>
        <v>No</v>
      </c>
      <c r="P531" s="3" t="s">
        <v>831</v>
      </c>
    </row>
    <row r="532" spans="1:16" ht="19.5" customHeight="1">
      <c r="A532" s="2" t="s">
        <v>854</v>
      </c>
      <c r="B532" s="38">
        <v>45909</v>
      </c>
      <c r="C532" s="1">
        <v>3</v>
      </c>
      <c r="D532" s="1" t="s">
        <v>823</v>
      </c>
      <c r="E532" s="1" t="s">
        <v>44</v>
      </c>
      <c r="F532" s="8" t="s">
        <v>452</v>
      </c>
      <c r="G532" s="6">
        <v>153000</v>
      </c>
      <c r="H532" s="6"/>
      <c r="I532" s="6"/>
      <c r="J532" s="7"/>
      <c r="K532" s="73"/>
      <c r="L532" s="73"/>
      <c r="M532" s="73"/>
      <c r="N532" s="73"/>
      <c r="O532" s="3" t="str">
        <f>IF(C532="","",IF(C532=5,IFERROR(INDEX(code_Note1!$F$13:$F$16,MATCH(E532,code_Note1!$E$13:$E$16,0)),INDEX(code_Note1!$F$16,1)),IF(B532&lt;code_Note1!$D$21,"No",IFERROR(VLOOKUP(C532,code_Note1!$D$3:$G$8,3,FALSE),""))))</f>
        <v>No</v>
      </c>
      <c r="P532" s="3" t="s">
        <v>832</v>
      </c>
    </row>
    <row r="533" spans="1:16" ht="19.5" customHeight="1">
      <c r="A533" s="2" t="s">
        <v>854</v>
      </c>
      <c r="B533" s="38">
        <v>45910</v>
      </c>
      <c r="C533" s="1">
        <v>1</v>
      </c>
      <c r="D533" s="1" t="s">
        <v>824</v>
      </c>
      <c r="E533" s="1" t="s">
        <v>291</v>
      </c>
      <c r="F533" s="8" t="s">
        <v>404</v>
      </c>
      <c r="G533" s="6">
        <v>360000</v>
      </c>
      <c r="H533" s="6"/>
      <c r="I533" s="6"/>
      <c r="J533" s="7"/>
      <c r="K533" s="73"/>
      <c r="L533" s="73"/>
      <c r="M533" s="73"/>
      <c r="N533" s="73"/>
      <c r="O533" s="3" t="str">
        <f>IF(C533="","",IF(C533=5,IFERROR(INDEX(code_Note1!$F$13:$F$16,MATCH(E533,code_Note1!$E$13:$E$16,0)),INDEX(code_Note1!$F$16,1)),IF(B533&lt;code_Note1!$D$21,"No",IFERROR(VLOOKUP(C533,code_Note1!$D$3:$G$8,3,FALSE),""))))</f>
        <v>No</v>
      </c>
      <c r="P533" s="3" t="s">
        <v>832</v>
      </c>
    </row>
    <row r="534" spans="1:16" ht="19.5" customHeight="1">
      <c r="A534" s="2" t="s">
        <v>854</v>
      </c>
      <c r="B534" s="38">
        <v>45910</v>
      </c>
      <c r="C534" s="1">
        <v>1</v>
      </c>
      <c r="D534" s="1" t="s">
        <v>824</v>
      </c>
      <c r="E534" s="1" t="s">
        <v>103</v>
      </c>
      <c r="F534" s="8" t="s">
        <v>340</v>
      </c>
      <c r="G534" s="6">
        <v>400000</v>
      </c>
      <c r="H534" s="6"/>
      <c r="I534" s="6"/>
      <c r="J534" s="7"/>
      <c r="K534" s="73"/>
      <c r="L534" s="73"/>
      <c r="M534" s="73"/>
      <c r="N534" s="73"/>
      <c r="O534" s="3" t="str">
        <f>IF(C534="","",IF(C534=5,IFERROR(INDEX(code_Note1!$F$13:$F$16,MATCH(E534,code_Note1!$E$13:$E$16,0)),INDEX(code_Note1!$F$16,1)),IF(B534&lt;code_Note1!$D$21,"No",IFERROR(VLOOKUP(C534,code_Note1!$D$3:$G$8,3,FALSE),""))))</f>
        <v>No</v>
      </c>
      <c r="P534" s="3" t="s">
        <v>832</v>
      </c>
    </row>
    <row r="535" spans="1:16" ht="19.5" customHeight="1">
      <c r="A535" s="2" t="s">
        <v>854</v>
      </c>
      <c r="B535" s="38">
        <v>45910</v>
      </c>
      <c r="C535" s="1">
        <v>1</v>
      </c>
      <c r="D535" s="1" t="s">
        <v>824</v>
      </c>
      <c r="E535" s="1" t="s">
        <v>293</v>
      </c>
      <c r="F535" s="8" t="s">
        <v>436</v>
      </c>
      <c r="G535" s="6">
        <v>2400000</v>
      </c>
      <c r="H535" s="6"/>
      <c r="I535" s="6"/>
      <c r="J535" s="7"/>
      <c r="K535" s="73"/>
      <c r="L535" s="73"/>
      <c r="M535" s="73"/>
      <c r="N535" s="73"/>
      <c r="O535" s="3" t="str">
        <f>IF(C535="","",IF(C535=5,IFERROR(INDEX(code_Note1!$F$13:$F$16,MATCH(E535,code_Note1!$E$13:$E$16,0)),INDEX(code_Note1!$F$16,1)),IF(B535&lt;code_Note1!$D$21,"No",IFERROR(VLOOKUP(C535,code_Note1!$D$3:$G$8,3,FALSE),""))))</f>
        <v>No</v>
      </c>
      <c r="P535" s="3" t="s">
        <v>832</v>
      </c>
    </row>
    <row r="536" spans="1:16" ht="19.5" customHeight="1">
      <c r="A536" s="2" t="s">
        <v>854</v>
      </c>
      <c r="B536" s="38">
        <v>45910</v>
      </c>
      <c r="C536" s="1">
        <v>2</v>
      </c>
      <c r="D536" s="1" t="s">
        <v>838</v>
      </c>
      <c r="E536" s="1" t="s">
        <v>111</v>
      </c>
      <c r="F536" s="8" t="s">
        <v>453</v>
      </c>
      <c r="G536" s="6">
        <v>1500000</v>
      </c>
      <c r="H536" s="6"/>
      <c r="I536" s="6"/>
      <c r="J536" s="7"/>
      <c r="K536" s="73"/>
      <c r="L536" s="73"/>
      <c r="M536" s="73"/>
      <c r="N536" s="73"/>
      <c r="O536" s="3" t="str">
        <f>IF(C536="","",IF(C536=5,IFERROR(INDEX(code_Note1!$F$13:$F$16,MATCH(E536,code_Note1!$E$13:$E$16,0)),INDEX(code_Note1!$F$16,1)),IF(B536&lt;code_Note1!$D$21,"No",IFERROR(VLOOKUP(C536,code_Note1!$D$3:$G$8,3,FALSE),""))))</f>
        <v>No</v>
      </c>
      <c r="P536" s="3" t="s">
        <v>831</v>
      </c>
    </row>
    <row r="537" spans="1:16" ht="19.5" customHeight="1">
      <c r="A537" s="2" t="s">
        <v>854</v>
      </c>
      <c r="B537" s="38">
        <v>45910</v>
      </c>
      <c r="C537" s="1">
        <v>2</v>
      </c>
      <c r="D537" s="1" t="s">
        <v>838</v>
      </c>
      <c r="E537" s="1" t="s">
        <v>51</v>
      </c>
      <c r="F537" s="8" t="s">
        <v>446</v>
      </c>
      <c r="G537" s="6">
        <v>900000</v>
      </c>
      <c r="H537" s="6"/>
      <c r="I537" s="6"/>
      <c r="J537" s="7"/>
      <c r="K537" s="73"/>
      <c r="L537" s="73"/>
      <c r="M537" s="73"/>
      <c r="N537" s="73"/>
      <c r="O537" s="3" t="str">
        <f>IF(C537="","",IF(C537=5,IFERROR(INDEX(code_Note1!$F$13:$F$16,MATCH(E537,code_Note1!$E$13:$E$16,0)),INDEX(code_Note1!$F$16,1)),IF(B537&lt;code_Note1!$D$21,"No",IFERROR(VLOOKUP(C537,code_Note1!$D$3:$G$8,3,FALSE),""))))</f>
        <v>No</v>
      </c>
      <c r="P537" s="3" t="s">
        <v>831</v>
      </c>
    </row>
    <row r="538" spans="1:16" ht="19.5" customHeight="1">
      <c r="A538" s="2" t="s">
        <v>854</v>
      </c>
      <c r="B538" s="38">
        <v>45911</v>
      </c>
      <c r="C538" s="1">
        <v>1</v>
      </c>
      <c r="D538" s="1" t="s">
        <v>824</v>
      </c>
      <c r="E538" s="27" t="s">
        <v>62</v>
      </c>
      <c r="F538" s="8" t="s">
        <v>454</v>
      </c>
      <c r="G538" s="6">
        <v>2937300</v>
      </c>
      <c r="H538" s="6"/>
      <c r="I538" s="6"/>
      <c r="J538" s="7"/>
      <c r="K538" s="73"/>
      <c r="L538" s="73"/>
      <c r="M538" s="73"/>
      <c r="N538" s="73"/>
      <c r="O538" s="3" t="str">
        <f>IF(C538="","",IF(C538=5,IFERROR(INDEX(code_Note1!$F$13:$F$16,MATCH(E538,code_Note1!$E$13:$E$16,0)),INDEX(code_Note1!$F$16,1)),IF(B538&lt;code_Note1!$D$21,"No",IFERROR(VLOOKUP(C538,code_Note1!$D$3:$G$8,3,FALSE),""))))</f>
        <v>No</v>
      </c>
      <c r="P538" s="3" t="s">
        <v>832</v>
      </c>
    </row>
    <row r="539" spans="1:16" ht="19.5" customHeight="1">
      <c r="A539" s="2" t="s">
        <v>854</v>
      </c>
      <c r="B539" s="38">
        <v>45912</v>
      </c>
      <c r="C539" s="1">
        <v>2</v>
      </c>
      <c r="D539" s="1" t="s">
        <v>838</v>
      </c>
      <c r="E539" s="1" t="s">
        <v>382</v>
      </c>
      <c r="F539" s="8" t="s">
        <v>455</v>
      </c>
      <c r="G539" s="6">
        <v>1200000</v>
      </c>
      <c r="H539" s="6"/>
      <c r="I539" s="6"/>
      <c r="J539" s="7"/>
      <c r="K539" s="73"/>
      <c r="L539" s="73"/>
      <c r="M539" s="73"/>
      <c r="N539" s="73"/>
      <c r="O539" s="3" t="str">
        <f>IF(C539="","",IF(C539=5,IFERROR(INDEX(code_Note1!$F$13:$F$16,MATCH(E539,code_Note1!$E$13:$E$16,0)),INDEX(code_Note1!$F$16,1)),IF(B539&lt;code_Note1!$D$21,"No",IFERROR(VLOOKUP(C539,code_Note1!$D$3:$G$8,3,FALSE),""))))</f>
        <v>No</v>
      </c>
      <c r="P539" s="3" t="s">
        <v>831</v>
      </c>
    </row>
    <row r="540" spans="1:16" ht="19.5" customHeight="1">
      <c r="A540" s="2" t="s">
        <v>854</v>
      </c>
      <c r="B540" s="38">
        <v>45913</v>
      </c>
      <c r="C540" s="1">
        <v>1</v>
      </c>
      <c r="D540" s="1" t="s">
        <v>824</v>
      </c>
      <c r="E540" s="1" t="s">
        <v>56</v>
      </c>
      <c r="F540" s="8" t="s">
        <v>456</v>
      </c>
      <c r="G540" s="6">
        <v>500000</v>
      </c>
      <c r="H540" s="6"/>
      <c r="I540" s="6"/>
      <c r="J540" s="7"/>
      <c r="K540" s="73"/>
      <c r="L540" s="73"/>
      <c r="M540" s="73"/>
      <c r="N540" s="73"/>
      <c r="O540" s="3" t="str">
        <f>IF(C540="","",IF(C540=5,IFERROR(INDEX(code_Note1!$F$13:$F$16,MATCH(E540,code_Note1!$E$13:$E$16,0)),INDEX(code_Note1!$F$16,1)),IF(B540&lt;code_Note1!$D$21,"No",IFERROR(VLOOKUP(C540,code_Note1!$D$3:$G$8,3,FALSE),""))))</f>
        <v>No</v>
      </c>
      <c r="P540" s="3" t="s">
        <v>832</v>
      </c>
    </row>
    <row r="541" spans="1:16" ht="19.5" customHeight="1">
      <c r="A541" s="2" t="s">
        <v>854</v>
      </c>
      <c r="B541" s="38">
        <v>45913</v>
      </c>
      <c r="C541" s="1">
        <v>2</v>
      </c>
      <c r="D541" s="1" t="s">
        <v>838</v>
      </c>
      <c r="E541" s="1" t="s">
        <v>379</v>
      </c>
      <c r="F541" s="8" t="s">
        <v>457</v>
      </c>
      <c r="G541" s="6">
        <v>6462120</v>
      </c>
      <c r="H541" s="6"/>
      <c r="I541" s="6"/>
      <c r="J541" s="7"/>
      <c r="K541" s="73"/>
      <c r="L541" s="73"/>
      <c r="M541" s="73"/>
      <c r="N541" s="73"/>
      <c r="O541" s="3" t="str">
        <f>IF(C541="","",IF(C541=5,IFERROR(INDEX(code_Note1!$F$13:$F$16,MATCH(E541,code_Note1!$E$13:$E$16,0)),INDEX(code_Note1!$F$16,1)),IF(B541&lt;code_Note1!$D$21,"No",IFERROR(VLOOKUP(C541,code_Note1!$D$3:$G$8,3,FALSE),""))))</f>
        <v>No</v>
      </c>
      <c r="P541" s="3" t="s">
        <v>831</v>
      </c>
    </row>
    <row r="542" spans="1:16" ht="19.5" customHeight="1">
      <c r="A542" s="2" t="s">
        <v>854</v>
      </c>
      <c r="B542" s="38">
        <v>45913</v>
      </c>
      <c r="C542" s="1">
        <v>2</v>
      </c>
      <c r="D542" s="1" t="s">
        <v>838</v>
      </c>
      <c r="E542" s="1" t="s">
        <v>46</v>
      </c>
      <c r="F542" s="8" t="s">
        <v>365</v>
      </c>
      <c r="G542" s="6">
        <v>1000000</v>
      </c>
      <c r="H542" s="6"/>
      <c r="I542" s="6"/>
      <c r="J542" s="7"/>
      <c r="K542" s="73"/>
      <c r="L542" s="73"/>
      <c r="M542" s="73"/>
      <c r="N542" s="73"/>
      <c r="O542" s="3" t="str">
        <f>IF(C542="","",IF(C542=5,IFERROR(INDEX(code_Note1!$F$13:$F$16,MATCH(E542,code_Note1!$E$13:$E$16,0)),INDEX(code_Note1!$F$16,1)),IF(B542&lt;code_Note1!$D$21,"No",IFERROR(VLOOKUP(C542,code_Note1!$D$3:$G$8,3,FALSE),""))))</f>
        <v>No</v>
      </c>
      <c r="P542" s="3" t="s">
        <v>831</v>
      </c>
    </row>
    <row r="543" spans="1:16" ht="19.5" customHeight="1">
      <c r="A543" s="2" t="s">
        <v>854</v>
      </c>
      <c r="B543" s="38">
        <v>45913</v>
      </c>
      <c r="C543" s="1">
        <v>3</v>
      </c>
      <c r="D543" s="1" t="s">
        <v>823</v>
      </c>
      <c r="E543" s="1" t="s">
        <v>12</v>
      </c>
      <c r="F543" s="8" t="s">
        <v>458</v>
      </c>
      <c r="G543" s="6">
        <v>100000</v>
      </c>
      <c r="H543" s="6"/>
      <c r="I543" s="6"/>
      <c r="J543" s="7"/>
      <c r="K543" s="73"/>
      <c r="L543" s="73"/>
      <c r="M543" s="73"/>
      <c r="N543" s="73"/>
      <c r="O543" s="3" t="str">
        <f>IF(C543="","",IF(C543=5,IFERROR(INDEX(code_Note1!$F$13:$F$16,MATCH(E543,code_Note1!$E$13:$E$16,0)),INDEX(code_Note1!$F$16,1)),IF(B543&lt;code_Note1!$D$21,"No",IFERROR(VLOOKUP(C543,code_Note1!$D$3:$G$8,3,FALSE),""))))</f>
        <v>No</v>
      </c>
      <c r="P543" s="3" t="s">
        <v>832</v>
      </c>
    </row>
    <row r="544" spans="1:16" ht="19.5" customHeight="1">
      <c r="A544" s="2" t="s">
        <v>854</v>
      </c>
      <c r="B544" s="38">
        <v>45914</v>
      </c>
      <c r="C544" s="1">
        <v>2</v>
      </c>
      <c r="D544" s="1" t="s">
        <v>838</v>
      </c>
      <c r="E544" s="1" t="s">
        <v>46</v>
      </c>
      <c r="F544" s="8" t="s">
        <v>130</v>
      </c>
      <c r="G544" s="6">
        <v>1800000</v>
      </c>
      <c r="H544" s="6"/>
      <c r="I544" s="6"/>
      <c r="J544" s="7"/>
      <c r="K544" s="73"/>
      <c r="L544" s="73"/>
      <c r="M544" s="73"/>
      <c r="N544" s="73"/>
      <c r="O544" s="3" t="str">
        <f>IF(C544="","",IF(C544=5,IFERROR(INDEX(code_Note1!$F$13:$F$16,MATCH(E544,code_Note1!$E$13:$E$16,0)),INDEX(code_Note1!$F$16,1)),IF(B544&lt;code_Note1!$D$21,"No",IFERROR(VLOOKUP(C544,code_Note1!$D$3:$G$8,3,FALSE),""))))</f>
        <v>No</v>
      </c>
      <c r="P544" s="3" t="s">
        <v>831</v>
      </c>
    </row>
    <row r="545" spans="1:16" ht="19.5" customHeight="1">
      <c r="A545" s="2" t="s">
        <v>854</v>
      </c>
      <c r="B545" s="38">
        <v>45914</v>
      </c>
      <c r="C545" s="1">
        <v>2</v>
      </c>
      <c r="D545" s="1" t="s">
        <v>838</v>
      </c>
      <c r="E545" s="1" t="s">
        <v>21</v>
      </c>
      <c r="F545" s="8" t="s">
        <v>459</v>
      </c>
      <c r="G545" s="6">
        <v>380000</v>
      </c>
      <c r="H545" s="6"/>
      <c r="I545" s="6"/>
      <c r="J545" s="7"/>
      <c r="K545" s="73"/>
      <c r="L545" s="73"/>
      <c r="M545" s="73"/>
      <c r="N545" s="73"/>
      <c r="O545" s="3" t="str">
        <f>IF(C545="","",IF(C545=5,IFERROR(INDEX(code_Note1!$F$13:$F$16,MATCH(E545,code_Note1!$E$13:$E$16,0)),INDEX(code_Note1!$F$16,1)),IF(B545&lt;code_Note1!$D$21,"No",IFERROR(VLOOKUP(C545,code_Note1!$D$3:$G$8,3,FALSE),""))))</f>
        <v>No</v>
      </c>
      <c r="P545" s="3" t="s">
        <v>831</v>
      </c>
    </row>
    <row r="546" spans="1:16" ht="19.5" customHeight="1">
      <c r="A546" s="2" t="s">
        <v>854</v>
      </c>
      <c r="B546" s="38">
        <v>45915</v>
      </c>
      <c r="C546" s="1">
        <v>2</v>
      </c>
      <c r="D546" s="1" t="s">
        <v>838</v>
      </c>
      <c r="E546" s="1" t="s">
        <v>111</v>
      </c>
      <c r="F546" s="8" t="s">
        <v>460</v>
      </c>
      <c r="G546" s="6">
        <v>560000</v>
      </c>
      <c r="H546" s="6"/>
      <c r="I546" s="6"/>
      <c r="J546" s="7"/>
      <c r="K546" s="73"/>
      <c r="L546" s="73"/>
      <c r="M546" s="73"/>
      <c r="N546" s="73"/>
      <c r="O546" s="3" t="str">
        <f>IF(C546="","",IF(C546=5,IFERROR(INDEX(code_Note1!$F$13:$F$16,MATCH(E546,code_Note1!$E$13:$E$16,0)),INDEX(code_Note1!$F$16,1)),IF(B546&lt;code_Note1!$D$21,"No",IFERROR(VLOOKUP(C546,code_Note1!$D$3:$G$8,3,FALSE),""))))</f>
        <v>No</v>
      </c>
      <c r="P546" s="3" t="s">
        <v>831</v>
      </c>
    </row>
    <row r="547" spans="1:16" ht="19.5" customHeight="1">
      <c r="A547" s="2" t="s">
        <v>854</v>
      </c>
      <c r="B547" s="38">
        <v>45915</v>
      </c>
      <c r="C547" s="1">
        <v>2</v>
      </c>
      <c r="D547" s="1" t="s">
        <v>838</v>
      </c>
      <c r="E547" s="1" t="s">
        <v>51</v>
      </c>
      <c r="F547" s="8" t="s">
        <v>461</v>
      </c>
      <c r="G547" s="6">
        <v>545000</v>
      </c>
      <c r="H547" s="6"/>
      <c r="I547" s="6"/>
      <c r="J547" s="7"/>
      <c r="K547" s="73"/>
      <c r="L547" s="73"/>
      <c r="M547" s="73"/>
      <c r="N547" s="73"/>
      <c r="O547" s="3" t="str">
        <f>IF(C547="","",IF(C547=5,IFERROR(INDEX(code_Note1!$F$13:$F$16,MATCH(E547,code_Note1!$E$13:$E$16,0)),INDEX(code_Note1!$F$16,1)),IF(B547&lt;code_Note1!$D$21,"No",IFERROR(VLOOKUP(C547,code_Note1!$D$3:$G$8,3,FALSE),""))))</f>
        <v>No</v>
      </c>
      <c r="P547" s="3" t="s">
        <v>831</v>
      </c>
    </row>
    <row r="548" spans="1:16" ht="19.5" customHeight="1">
      <c r="A548" s="2" t="s">
        <v>854</v>
      </c>
      <c r="B548" s="38">
        <v>45915</v>
      </c>
      <c r="C548" s="1">
        <v>2</v>
      </c>
      <c r="D548" s="1" t="s">
        <v>838</v>
      </c>
      <c r="E548" s="1" t="s">
        <v>21</v>
      </c>
      <c r="F548" s="8" t="s">
        <v>462</v>
      </c>
      <c r="G548" s="6">
        <v>600000</v>
      </c>
      <c r="H548" s="6"/>
      <c r="I548" s="6"/>
      <c r="J548" s="7"/>
      <c r="K548" s="73"/>
      <c r="L548" s="73"/>
      <c r="M548" s="73"/>
      <c r="N548" s="73"/>
      <c r="O548" s="3" t="str">
        <f>IF(C548="","",IF(C548=5,IFERROR(INDEX(code_Note1!$F$13:$F$16,MATCH(E548,code_Note1!$E$13:$E$16,0)),INDEX(code_Note1!$F$16,1)),IF(B548&lt;code_Note1!$D$21,"No",IFERROR(VLOOKUP(C548,code_Note1!$D$3:$G$8,3,FALSE),""))))</f>
        <v>No</v>
      </c>
      <c r="P548" s="3" t="s">
        <v>831</v>
      </c>
    </row>
    <row r="549" spans="1:16" ht="19.5" customHeight="1">
      <c r="A549" s="2" t="s">
        <v>854</v>
      </c>
      <c r="B549" s="38">
        <v>45915</v>
      </c>
      <c r="C549" s="1">
        <v>2</v>
      </c>
      <c r="D549" s="1" t="s">
        <v>838</v>
      </c>
      <c r="E549" s="1" t="s">
        <v>51</v>
      </c>
      <c r="F549" s="8" t="s">
        <v>446</v>
      </c>
      <c r="G549" s="6">
        <v>1000000</v>
      </c>
      <c r="H549" s="6"/>
      <c r="I549" s="6"/>
      <c r="J549" s="7"/>
      <c r="K549" s="73"/>
      <c r="L549" s="73"/>
      <c r="M549" s="73"/>
      <c r="N549" s="73"/>
      <c r="O549" s="3" t="str">
        <f>IF(C549="","",IF(C549=5,IFERROR(INDEX(code_Note1!$F$13:$F$16,MATCH(E549,code_Note1!$E$13:$E$16,0)),INDEX(code_Note1!$F$16,1)),IF(B549&lt;code_Note1!$D$21,"No",IFERROR(VLOOKUP(C549,code_Note1!$D$3:$G$8,3,FALSE),""))))</f>
        <v>No</v>
      </c>
      <c r="P549" s="3" t="s">
        <v>831</v>
      </c>
    </row>
    <row r="550" spans="1:16" ht="19.5" customHeight="1">
      <c r="A550" s="2" t="s">
        <v>854</v>
      </c>
      <c r="B550" s="38">
        <v>45916</v>
      </c>
      <c r="C550" s="1">
        <v>3</v>
      </c>
      <c r="D550" s="1" t="s">
        <v>823</v>
      </c>
      <c r="E550" s="1" t="s">
        <v>44</v>
      </c>
      <c r="F550" s="8" t="s">
        <v>463</v>
      </c>
      <c r="G550" s="6">
        <v>135000</v>
      </c>
      <c r="H550" s="6"/>
      <c r="I550" s="6"/>
      <c r="J550" s="7"/>
      <c r="K550" s="73"/>
      <c r="L550" s="73"/>
      <c r="M550" s="73"/>
      <c r="N550" s="73"/>
      <c r="O550" s="3" t="str">
        <f>IF(C550="","",IF(C550=5,IFERROR(INDEX(code_Note1!$F$13:$F$16,MATCH(E550,code_Note1!$E$13:$E$16,0)),INDEX(code_Note1!$F$16,1)),IF(B550&lt;code_Note1!$D$21,"No",IFERROR(VLOOKUP(C550,code_Note1!$D$3:$G$8,3,FALSE),""))))</f>
        <v>No</v>
      </c>
      <c r="P550" s="3" t="s">
        <v>832</v>
      </c>
    </row>
    <row r="551" spans="1:16" ht="19.5" customHeight="1">
      <c r="A551" s="2" t="s">
        <v>854</v>
      </c>
      <c r="B551" s="38">
        <v>45916</v>
      </c>
      <c r="C551" s="1">
        <v>2</v>
      </c>
      <c r="D551" s="1" t="s">
        <v>838</v>
      </c>
      <c r="E551" s="1" t="s">
        <v>109</v>
      </c>
      <c r="F551" s="8" t="s">
        <v>464</v>
      </c>
      <c r="G551" s="6">
        <v>15800000</v>
      </c>
      <c r="H551" s="6"/>
      <c r="I551" s="6"/>
      <c r="J551" s="7"/>
      <c r="K551" s="73"/>
      <c r="L551" s="73"/>
      <c r="M551" s="73"/>
      <c r="N551" s="73"/>
      <c r="O551" s="3" t="str">
        <f>IF(C551="","",IF(C551=5,IFERROR(INDEX(code_Note1!$F$13:$F$16,MATCH(E551,code_Note1!$E$13:$E$16,0)),INDEX(code_Note1!$F$16,1)),IF(B551&lt;code_Note1!$D$21,"No",IFERROR(VLOOKUP(C551,code_Note1!$D$3:$G$8,3,FALSE),""))))</f>
        <v>No</v>
      </c>
      <c r="P551" s="3" t="s">
        <v>831</v>
      </c>
    </row>
    <row r="552" spans="1:16" ht="19.5" customHeight="1">
      <c r="A552" s="2" t="s">
        <v>854</v>
      </c>
      <c r="B552" s="38">
        <v>45916</v>
      </c>
      <c r="C552" s="1">
        <v>2</v>
      </c>
      <c r="D552" s="1" t="s">
        <v>838</v>
      </c>
      <c r="E552" s="1" t="s">
        <v>51</v>
      </c>
      <c r="F552" s="8" t="s">
        <v>446</v>
      </c>
      <c r="G552" s="6">
        <v>125000</v>
      </c>
      <c r="H552" s="6"/>
      <c r="I552" s="6"/>
      <c r="J552" s="7"/>
      <c r="K552" s="73"/>
      <c r="L552" s="73"/>
      <c r="M552" s="73"/>
      <c r="N552" s="73"/>
      <c r="O552" s="3" t="str">
        <f>IF(C552="","",IF(C552=5,IFERROR(INDEX(code_Note1!$F$13:$F$16,MATCH(E552,code_Note1!$E$13:$E$16,0)),INDEX(code_Note1!$F$16,1)),IF(B552&lt;code_Note1!$D$21,"No",IFERROR(VLOOKUP(C552,code_Note1!$D$3:$G$8,3,FALSE),""))))</f>
        <v>No</v>
      </c>
      <c r="P552" s="3" t="s">
        <v>831</v>
      </c>
    </row>
    <row r="553" spans="1:16" ht="19.5" customHeight="1">
      <c r="A553" s="2" t="s">
        <v>854</v>
      </c>
      <c r="B553" s="38">
        <v>45916</v>
      </c>
      <c r="C553" s="1">
        <v>2</v>
      </c>
      <c r="D553" s="1" t="s">
        <v>838</v>
      </c>
      <c r="E553" s="1" t="s">
        <v>21</v>
      </c>
      <c r="F553" s="8" t="s">
        <v>344</v>
      </c>
      <c r="G553" s="6">
        <v>360000</v>
      </c>
      <c r="H553" s="6"/>
      <c r="I553" s="6"/>
      <c r="J553" s="7"/>
      <c r="K553" s="73"/>
      <c r="L553" s="73"/>
      <c r="M553" s="73"/>
      <c r="N553" s="73"/>
      <c r="O553" s="3" t="str">
        <f>IF(C553="","",IF(C553=5,IFERROR(INDEX(code_Note1!$F$13:$F$16,MATCH(E553,code_Note1!$E$13:$E$16,0)),INDEX(code_Note1!$F$16,1)),IF(B553&lt;code_Note1!$D$21,"No",IFERROR(VLOOKUP(C553,code_Note1!$D$3:$G$8,3,FALSE),""))))</f>
        <v>No</v>
      </c>
      <c r="P553" s="3" t="s">
        <v>831</v>
      </c>
    </row>
    <row r="554" spans="1:16" ht="19.5" customHeight="1">
      <c r="A554" s="2" t="s">
        <v>854</v>
      </c>
      <c r="B554" s="38">
        <v>45916</v>
      </c>
      <c r="C554" s="1">
        <v>2</v>
      </c>
      <c r="D554" s="1" t="s">
        <v>838</v>
      </c>
      <c r="E554" s="1" t="s">
        <v>382</v>
      </c>
      <c r="F554" s="8" t="s">
        <v>465</v>
      </c>
      <c r="G554" s="6">
        <v>1200000</v>
      </c>
      <c r="H554" s="6"/>
      <c r="I554" s="6"/>
      <c r="J554" s="7"/>
      <c r="K554" s="73"/>
      <c r="L554" s="73"/>
      <c r="M554" s="73"/>
      <c r="N554" s="73"/>
      <c r="O554" s="3" t="str">
        <f>IF(C554="","",IF(C554=5,IFERROR(INDEX(code_Note1!$F$13:$F$16,MATCH(E554,code_Note1!$E$13:$E$16,0)),INDEX(code_Note1!$F$16,1)),IF(B554&lt;code_Note1!$D$21,"No",IFERROR(VLOOKUP(C554,code_Note1!$D$3:$G$8,3,FALSE),""))))</f>
        <v>No</v>
      </c>
      <c r="P554" s="3" t="s">
        <v>831</v>
      </c>
    </row>
    <row r="555" spans="1:16" ht="19.5" customHeight="1">
      <c r="A555" s="2" t="s">
        <v>854</v>
      </c>
      <c r="B555" s="38">
        <v>45918</v>
      </c>
      <c r="C555" s="1">
        <v>2</v>
      </c>
      <c r="D555" s="1" t="s">
        <v>838</v>
      </c>
      <c r="E555" s="1" t="s">
        <v>51</v>
      </c>
      <c r="F555" s="8" t="s">
        <v>446</v>
      </c>
      <c r="G555" s="6">
        <v>1070000</v>
      </c>
      <c r="H555" s="6"/>
      <c r="I555" s="6"/>
      <c r="J555" s="7"/>
      <c r="K555" s="73"/>
      <c r="L555" s="73"/>
      <c r="M555" s="73"/>
      <c r="N555" s="73"/>
      <c r="O555" s="3" t="str">
        <f>IF(C555="","",IF(C555=5,IFERROR(INDEX(code_Note1!$F$13:$F$16,MATCH(E555,code_Note1!$E$13:$E$16,0)),INDEX(code_Note1!$F$16,1)),IF(B555&lt;code_Note1!$D$21,"No",IFERROR(VLOOKUP(C555,code_Note1!$D$3:$G$8,3,FALSE),""))))</f>
        <v>No</v>
      </c>
      <c r="P555" s="3" t="s">
        <v>831</v>
      </c>
    </row>
    <row r="556" spans="1:16" ht="19.5" customHeight="1">
      <c r="A556" s="2" t="s">
        <v>854</v>
      </c>
      <c r="B556" s="38">
        <v>45918</v>
      </c>
      <c r="C556" s="1">
        <v>2</v>
      </c>
      <c r="D556" s="1" t="s">
        <v>838</v>
      </c>
      <c r="E556" s="1" t="s">
        <v>51</v>
      </c>
      <c r="F556" s="8" t="s">
        <v>466</v>
      </c>
      <c r="G556" s="6">
        <v>690000</v>
      </c>
      <c r="H556" s="6"/>
      <c r="I556" s="6"/>
      <c r="J556" s="7"/>
      <c r="K556" s="73"/>
      <c r="L556" s="73"/>
      <c r="M556" s="73"/>
      <c r="N556" s="73"/>
      <c r="O556" s="3" t="str">
        <f>IF(C556="","",IF(C556=5,IFERROR(INDEX(code_Note1!$F$13:$F$16,MATCH(E556,code_Note1!$E$13:$E$16,0)),INDEX(code_Note1!$F$16,1)),IF(B556&lt;code_Note1!$D$21,"No",IFERROR(VLOOKUP(C556,code_Note1!$D$3:$G$8,3,FALSE),""))))</f>
        <v>No</v>
      </c>
      <c r="P556" s="3" t="s">
        <v>831</v>
      </c>
    </row>
    <row r="557" spans="1:16" ht="19.5" customHeight="1">
      <c r="A557" s="2" t="s">
        <v>854</v>
      </c>
      <c r="B557" s="38">
        <v>45919</v>
      </c>
      <c r="C557" s="1">
        <v>1</v>
      </c>
      <c r="D557" s="1" t="s">
        <v>824</v>
      </c>
      <c r="E557" s="1" t="s">
        <v>293</v>
      </c>
      <c r="F557" s="8" t="s">
        <v>467</v>
      </c>
      <c r="G557" s="6">
        <v>2645000</v>
      </c>
      <c r="H557" s="6"/>
      <c r="I557" s="6"/>
      <c r="J557" s="7"/>
      <c r="K557" s="73"/>
      <c r="L557" s="73"/>
      <c r="M557" s="73"/>
      <c r="N557" s="73"/>
      <c r="O557" s="3" t="str">
        <f>IF(C557="","",IF(C557=5,IFERROR(INDEX(code_Note1!$F$13:$F$16,MATCH(E557,code_Note1!$E$13:$E$16,0)),INDEX(code_Note1!$F$16,1)),IF(B557&lt;code_Note1!$D$21,"No",IFERROR(VLOOKUP(C557,code_Note1!$D$3:$G$8,3,FALSE),""))))</f>
        <v>No</v>
      </c>
      <c r="P557" s="3" t="s">
        <v>832</v>
      </c>
    </row>
    <row r="558" spans="1:16" ht="19.5" customHeight="1">
      <c r="A558" s="2" t="s">
        <v>854</v>
      </c>
      <c r="B558" s="38">
        <v>45919</v>
      </c>
      <c r="C558" s="1">
        <v>1</v>
      </c>
      <c r="D558" s="1" t="s">
        <v>824</v>
      </c>
      <c r="E558" s="1" t="s">
        <v>103</v>
      </c>
      <c r="F558" s="8" t="s">
        <v>468</v>
      </c>
      <c r="G558" s="6">
        <v>400000</v>
      </c>
      <c r="H558" s="6"/>
      <c r="I558" s="6"/>
      <c r="J558" s="7"/>
      <c r="K558" s="73"/>
      <c r="L558" s="73"/>
      <c r="M558" s="73"/>
      <c r="N558" s="73"/>
      <c r="O558" s="3" t="str">
        <f>IF(C558="","",IF(C558=5,IFERROR(INDEX(code_Note1!$F$13:$F$16,MATCH(E558,code_Note1!$E$13:$E$16,0)),INDEX(code_Note1!$F$16,1)),IF(B558&lt;code_Note1!$D$21,"No",IFERROR(VLOOKUP(C558,code_Note1!$D$3:$G$8,3,FALSE),""))))</f>
        <v>No</v>
      </c>
      <c r="P558" s="3" t="s">
        <v>832</v>
      </c>
    </row>
    <row r="559" spans="1:16" ht="19.5" customHeight="1">
      <c r="A559" s="2" t="s">
        <v>854</v>
      </c>
      <c r="B559" s="38">
        <v>45919</v>
      </c>
      <c r="C559" s="1">
        <v>2</v>
      </c>
      <c r="D559" s="1" t="s">
        <v>838</v>
      </c>
      <c r="E559" s="1" t="s">
        <v>51</v>
      </c>
      <c r="F559" s="8" t="s">
        <v>446</v>
      </c>
      <c r="G559" s="6">
        <v>0</v>
      </c>
      <c r="H559" s="6">
        <v>0</v>
      </c>
      <c r="I559" s="6">
        <v>71.47</v>
      </c>
      <c r="J559" s="7"/>
      <c r="K559" s="73"/>
      <c r="L559" s="73"/>
      <c r="M559" s="73"/>
      <c r="N559" s="73"/>
      <c r="O559" s="3" t="str">
        <f>IF(C559="","",IF(C559=5,IFERROR(INDEX(code_Note1!$F$13:$F$16,MATCH(E559,code_Note1!$E$13:$E$16,0)),INDEX(code_Note1!$F$16,1)),IF(B559&lt;code_Note1!$D$21,"No",IFERROR(VLOOKUP(C559,code_Note1!$D$3:$G$8,3,FALSE),""))))</f>
        <v>No</v>
      </c>
      <c r="P559" s="3" t="s">
        <v>831</v>
      </c>
    </row>
    <row r="560" spans="1:16" ht="19.5" customHeight="1">
      <c r="A560" s="2" t="s">
        <v>854</v>
      </c>
      <c r="B560" s="38">
        <v>45919</v>
      </c>
      <c r="C560" s="1">
        <v>2</v>
      </c>
      <c r="D560" s="1" t="s">
        <v>838</v>
      </c>
      <c r="E560" s="1" t="s">
        <v>51</v>
      </c>
      <c r="F560" s="8" t="s">
        <v>446</v>
      </c>
      <c r="G560" s="6">
        <v>0</v>
      </c>
      <c r="H560" s="6">
        <v>0</v>
      </c>
      <c r="I560" s="6">
        <v>88.88</v>
      </c>
      <c r="J560" s="7"/>
      <c r="K560" s="73"/>
      <c r="L560" s="73"/>
      <c r="M560" s="73"/>
      <c r="N560" s="73"/>
      <c r="O560" s="3" t="str">
        <f>IF(C560="","",IF(C560=5,IFERROR(INDEX(code_Note1!$F$13:$F$16,MATCH(E560,code_Note1!$E$13:$E$16,0)),INDEX(code_Note1!$F$16,1)),IF(B560&lt;code_Note1!$D$21,"No",IFERROR(VLOOKUP(C560,code_Note1!$D$3:$G$8,3,FALSE),""))))</f>
        <v>No</v>
      </c>
      <c r="P560" s="3" t="s">
        <v>831</v>
      </c>
    </row>
    <row r="561" spans="1:16" ht="19.5" customHeight="1">
      <c r="A561" s="2" t="s">
        <v>854</v>
      </c>
      <c r="B561" s="38">
        <v>45919</v>
      </c>
      <c r="C561" s="1">
        <v>1</v>
      </c>
      <c r="D561" s="1" t="s">
        <v>824</v>
      </c>
      <c r="E561" s="1" t="s">
        <v>103</v>
      </c>
      <c r="F561" s="8" t="s">
        <v>469</v>
      </c>
      <c r="G561" s="6">
        <v>400000</v>
      </c>
      <c r="H561" s="6"/>
      <c r="I561" s="6"/>
      <c r="J561" s="7"/>
      <c r="K561" s="73"/>
      <c r="L561" s="73"/>
      <c r="M561" s="73"/>
      <c r="N561" s="73"/>
      <c r="O561" s="3" t="str">
        <f>IF(C561="","",IF(C561=5,IFERROR(INDEX(code_Note1!$F$13:$F$16,MATCH(E561,code_Note1!$E$13:$E$16,0)),INDEX(code_Note1!$F$16,1)),IF(B561&lt;code_Note1!$D$21,"No",IFERROR(VLOOKUP(C561,code_Note1!$D$3:$G$8,3,FALSE),""))))</f>
        <v>No</v>
      </c>
      <c r="P561" s="3" t="s">
        <v>832</v>
      </c>
    </row>
    <row r="562" spans="1:16" ht="19.5" customHeight="1">
      <c r="A562" s="2" t="s">
        <v>854</v>
      </c>
      <c r="B562" s="38">
        <v>45920</v>
      </c>
      <c r="C562" s="1">
        <v>2</v>
      </c>
      <c r="D562" s="1" t="s">
        <v>838</v>
      </c>
      <c r="E562" s="1" t="s">
        <v>382</v>
      </c>
      <c r="F562" s="8" t="s">
        <v>470</v>
      </c>
      <c r="G562" s="6">
        <v>207000</v>
      </c>
      <c r="H562" s="6"/>
      <c r="I562" s="6"/>
      <c r="J562" s="7"/>
      <c r="K562" s="73"/>
      <c r="L562" s="73"/>
      <c r="M562" s="73"/>
      <c r="N562" s="73"/>
      <c r="O562" s="3" t="str">
        <f>IF(C562="","",IF(C562=5,IFERROR(INDEX(code_Note1!$F$13:$F$16,MATCH(E562,code_Note1!$E$13:$E$16,0)),INDEX(code_Note1!$F$16,1)),IF(B562&lt;code_Note1!$D$21,"No",IFERROR(VLOOKUP(C562,code_Note1!$D$3:$G$8,3,FALSE),""))))</f>
        <v>No</v>
      </c>
      <c r="P562" s="3" t="s">
        <v>831</v>
      </c>
    </row>
    <row r="563" spans="1:16" ht="19.5" customHeight="1">
      <c r="A563" s="2" t="s">
        <v>854</v>
      </c>
      <c r="B563" s="38">
        <v>45921</v>
      </c>
      <c r="C563" s="1">
        <v>1</v>
      </c>
      <c r="D563" s="1" t="s">
        <v>824</v>
      </c>
      <c r="E563" s="1" t="s">
        <v>291</v>
      </c>
      <c r="F563" s="8" t="s">
        <v>404</v>
      </c>
      <c r="G563" s="6">
        <v>345000</v>
      </c>
      <c r="H563" s="6"/>
      <c r="I563" s="6"/>
      <c r="J563" s="7"/>
      <c r="K563" s="73"/>
      <c r="L563" s="73"/>
      <c r="M563" s="73"/>
      <c r="N563" s="73"/>
      <c r="O563" s="3" t="str">
        <f>IF(C563="","",IF(C563=5,IFERROR(INDEX(code_Note1!$F$13:$F$16,MATCH(E563,code_Note1!$E$13:$E$16,0)),INDEX(code_Note1!$F$16,1)),IF(B563&lt;code_Note1!$D$21,"No",IFERROR(VLOOKUP(C563,code_Note1!$D$3:$G$8,3,FALSE),""))))</f>
        <v>No</v>
      </c>
      <c r="P563" s="3" t="s">
        <v>832</v>
      </c>
    </row>
    <row r="564" spans="1:16" ht="19.5" customHeight="1">
      <c r="A564" s="2" t="s">
        <v>854</v>
      </c>
      <c r="B564" s="38">
        <v>45922</v>
      </c>
      <c r="C564" s="1">
        <v>1</v>
      </c>
      <c r="D564" s="1" t="s">
        <v>824</v>
      </c>
      <c r="E564" s="1" t="s">
        <v>293</v>
      </c>
      <c r="F564" s="8" t="s">
        <v>471</v>
      </c>
      <c r="G564" s="6">
        <v>2450000</v>
      </c>
      <c r="H564" s="6"/>
      <c r="I564" s="6"/>
      <c r="J564" s="7"/>
      <c r="K564" s="73"/>
      <c r="L564" s="73"/>
      <c r="M564" s="73"/>
      <c r="N564" s="73"/>
      <c r="O564" s="3" t="str">
        <f>IF(C564="","",IF(C564=5,IFERROR(INDEX(code_Note1!$F$13:$F$16,MATCH(E564,code_Note1!$E$13:$E$16,0)),INDEX(code_Note1!$F$16,1)),IF(B564&lt;code_Note1!$D$21,"No",IFERROR(VLOOKUP(C564,code_Note1!$D$3:$G$8,3,FALSE),""))))</f>
        <v>No</v>
      </c>
      <c r="P564" s="3" t="s">
        <v>832</v>
      </c>
    </row>
    <row r="565" spans="1:16" ht="19.5" customHeight="1">
      <c r="A565" s="2" t="s">
        <v>854</v>
      </c>
      <c r="B565" s="38">
        <v>45922</v>
      </c>
      <c r="C565" s="1">
        <v>1</v>
      </c>
      <c r="D565" s="1" t="s">
        <v>824</v>
      </c>
      <c r="E565" s="1" t="s">
        <v>291</v>
      </c>
      <c r="F565" s="8" t="s">
        <v>404</v>
      </c>
      <c r="G565" s="6">
        <v>375000</v>
      </c>
      <c r="H565" s="6"/>
      <c r="I565" s="6"/>
      <c r="J565" s="7"/>
      <c r="K565" s="73"/>
      <c r="L565" s="73"/>
      <c r="M565" s="73"/>
      <c r="N565" s="73"/>
      <c r="O565" s="3" t="str">
        <f>IF(C565="","",IF(C565=5,IFERROR(INDEX(code_Note1!$F$13:$F$16,MATCH(E565,code_Note1!$E$13:$E$16,0)),INDEX(code_Note1!$F$16,1)),IF(B565&lt;code_Note1!$D$21,"No",IFERROR(VLOOKUP(C565,code_Note1!$D$3:$G$8,3,FALSE),""))))</f>
        <v>No</v>
      </c>
      <c r="P565" s="3" t="s">
        <v>832</v>
      </c>
    </row>
    <row r="566" spans="1:16" ht="19.5" customHeight="1">
      <c r="A566" s="2" t="s">
        <v>854</v>
      </c>
      <c r="B566" s="38">
        <v>45922</v>
      </c>
      <c r="C566" s="1">
        <v>1</v>
      </c>
      <c r="D566" s="1" t="s">
        <v>824</v>
      </c>
      <c r="E566" s="1" t="s">
        <v>293</v>
      </c>
      <c r="F566" s="8" t="s">
        <v>467</v>
      </c>
      <c r="G566" s="6">
        <v>2300000</v>
      </c>
      <c r="H566" s="6"/>
      <c r="I566" s="6"/>
      <c r="J566" s="7"/>
      <c r="K566" s="73"/>
      <c r="L566" s="73"/>
      <c r="M566" s="73"/>
      <c r="N566" s="73"/>
      <c r="O566" s="3" t="str">
        <f>IF(C566="","",IF(C566=5,IFERROR(INDEX(code_Note1!$F$13:$F$16,MATCH(E566,code_Note1!$E$13:$E$16,0)),INDEX(code_Note1!$F$16,1)),IF(B566&lt;code_Note1!$D$21,"No",IFERROR(VLOOKUP(C566,code_Note1!$D$3:$G$8,3,FALSE),""))))</f>
        <v>No</v>
      </c>
      <c r="P566" s="3" t="s">
        <v>832</v>
      </c>
    </row>
    <row r="567" spans="1:16" ht="19.5" customHeight="1">
      <c r="A567" s="2" t="s">
        <v>854</v>
      </c>
      <c r="B567" s="38">
        <v>45922</v>
      </c>
      <c r="C567" s="1">
        <v>1</v>
      </c>
      <c r="D567" s="1" t="s">
        <v>824</v>
      </c>
      <c r="E567" s="1" t="s">
        <v>103</v>
      </c>
      <c r="F567" s="8" t="s">
        <v>472</v>
      </c>
      <c r="G567" s="6">
        <v>1000000</v>
      </c>
      <c r="H567" s="6"/>
      <c r="I567" s="6"/>
      <c r="J567" s="7"/>
      <c r="K567" s="73"/>
      <c r="L567" s="73"/>
      <c r="M567" s="73"/>
      <c r="N567" s="73"/>
      <c r="O567" s="3" t="str">
        <f>IF(C567="","",IF(C567=5,IFERROR(INDEX(code_Note1!$F$13:$F$16,MATCH(E567,code_Note1!$E$13:$E$16,0)),INDEX(code_Note1!$F$16,1)),IF(B567&lt;code_Note1!$D$21,"No",IFERROR(VLOOKUP(C567,code_Note1!$D$3:$G$8,3,FALSE),""))))</f>
        <v>No</v>
      </c>
      <c r="P567" s="3" t="s">
        <v>832</v>
      </c>
    </row>
    <row r="568" spans="1:16" ht="19.5" customHeight="1">
      <c r="A568" s="2" t="s">
        <v>854</v>
      </c>
      <c r="B568" s="38">
        <v>45923</v>
      </c>
      <c r="C568" s="1">
        <v>2</v>
      </c>
      <c r="D568" s="1" t="s">
        <v>838</v>
      </c>
      <c r="E568" s="1" t="s">
        <v>46</v>
      </c>
      <c r="F568" s="8" t="s">
        <v>130</v>
      </c>
      <c r="G568" s="6">
        <v>600000</v>
      </c>
      <c r="H568" s="6"/>
      <c r="I568" s="6"/>
      <c r="J568" s="7"/>
      <c r="K568" s="73"/>
      <c r="L568" s="73"/>
      <c r="M568" s="73"/>
      <c r="N568" s="73"/>
      <c r="O568" s="3" t="str">
        <f>IF(C568="","",IF(C568=5,IFERROR(INDEX(code_Note1!$F$13:$F$16,MATCH(E568,code_Note1!$E$13:$E$16,0)),INDEX(code_Note1!$F$16,1)),IF(B568&lt;code_Note1!$D$21,"No",IFERROR(VLOOKUP(C568,code_Note1!$D$3:$G$8,3,FALSE),""))))</f>
        <v>No</v>
      </c>
      <c r="P568" s="3" t="s">
        <v>831</v>
      </c>
    </row>
    <row r="569" spans="1:16" ht="19.5" customHeight="1">
      <c r="A569" s="2" t="s">
        <v>854</v>
      </c>
      <c r="B569" s="38">
        <v>45923</v>
      </c>
      <c r="C569" s="1">
        <v>2</v>
      </c>
      <c r="D569" s="1" t="s">
        <v>838</v>
      </c>
      <c r="E569" s="1" t="s">
        <v>46</v>
      </c>
      <c r="F569" s="8" t="s">
        <v>130</v>
      </c>
      <c r="G569" s="6">
        <v>900000</v>
      </c>
      <c r="H569" s="6"/>
      <c r="I569" s="6"/>
      <c r="J569" s="7"/>
      <c r="K569" s="73"/>
      <c r="L569" s="73"/>
      <c r="M569" s="73"/>
      <c r="N569" s="73"/>
      <c r="O569" s="3" t="str">
        <f>IF(C569="","",IF(C569=5,IFERROR(INDEX(code_Note1!$F$13:$F$16,MATCH(E569,code_Note1!$E$13:$E$16,0)),INDEX(code_Note1!$F$16,1)),IF(B569&lt;code_Note1!$D$21,"No",IFERROR(VLOOKUP(C569,code_Note1!$D$3:$G$8,3,FALSE),""))))</f>
        <v>No</v>
      </c>
      <c r="P569" s="3" t="s">
        <v>831</v>
      </c>
    </row>
    <row r="570" spans="1:16" ht="19.5" customHeight="1">
      <c r="A570" s="2" t="s">
        <v>854</v>
      </c>
      <c r="B570" s="38">
        <v>45923</v>
      </c>
      <c r="C570" s="1">
        <v>2</v>
      </c>
      <c r="D570" s="1" t="s">
        <v>838</v>
      </c>
      <c r="E570" s="1" t="s">
        <v>46</v>
      </c>
      <c r="F570" s="8" t="s">
        <v>130</v>
      </c>
      <c r="G570" s="6">
        <v>1500000</v>
      </c>
      <c r="H570" s="6"/>
      <c r="I570" s="6"/>
      <c r="J570" s="7"/>
      <c r="K570" s="73"/>
      <c r="L570" s="73"/>
      <c r="M570" s="73"/>
      <c r="N570" s="73"/>
      <c r="O570" s="3" t="str">
        <f>IF(C570="","",IF(C570=5,IFERROR(INDEX(code_Note1!$F$13:$F$16,MATCH(E570,code_Note1!$E$13:$E$16,0)),INDEX(code_Note1!$F$16,1)),IF(B570&lt;code_Note1!$D$21,"No",IFERROR(VLOOKUP(C570,code_Note1!$D$3:$G$8,3,FALSE),""))))</f>
        <v>No</v>
      </c>
      <c r="P570" s="3" t="s">
        <v>831</v>
      </c>
    </row>
    <row r="571" spans="1:16" ht="19.5" customHeight="1">
      <c r="A571" s="2" t="s">
        <v>854</v>
      </c>
      <c r="B571" s="38">
        <v>45924</v>
      </c>
      <c r="C571" s="1">
        <v>1</v>
      </c>
      <c r="D571" s="1" t="s">
        <v>824</v>
      </c>
      <c r="E571" s="1" t="s">
        <v>56</v>
      </c>
      <c r="F571" s="8" t="s">
        <v>473</v>
      </c>
      <c r="G571" s="6">
        <v>1500000</v>
      </c>
      <c r="H571" s="6"/>
      <c r="I571" s="6"/>
      <c r="J571" s="7"/>
      <c r="K571" s="73"/>
      <c r="L571" s="73"/>
      <c r="M571" s="73"/>
      <c r="N571" s="73"/>
      <c r="O571" s="3" t="str">
        <f>IF(C571="","",IF(C571=5,IFERROR(INDEX(code_Note1!$F$13:$F$16,MATCH(E571,code_Note1!$E$13:$E$16,0)),INDEX(code_Note1!$F$16,1)),IF(B571&lt;code_Note1!$D$21,"No",IFERROR(VLOOKUP(C571,code_Note1!$D$3:$G$8,3,FALSE),""))))</f>
        <v>No</v>
      </c>
      <c r="P571" s="3" t="s">
        <v>832</v>
      </c>
    </row>
    <row r="572" spans="1:16" ht="19.5" customHeight="1">
      <c r="A572" s="2" t="s">
        <v>854</v>
      </c>
      <c r="B572" s="38">
        <v>45924</v>
      </c>
      <c r="C572" s="1">
        <v>2</v>
      </c>
      <c r="D572" s="1" t="s">
        <v>838</v>
      </c>
      <c r="E572" s="1" t="s">
        <v>51</v>
      </c>
      <c r="F572" s="8" t="s">
        <v>474</v>
      </c>
      <c r="G572" s="6">
        <v>0</v>
      </c>
      <c r="H572" s="6">
        <v>0</v>
      </c>
      <c r="I572" s="6">
        <v>306</v>
      </c>
      <c r="J572" s="7"/>
      <c r="K572" s="73"/>
      <c r="L572" s="73"/>
      <c r="M572" s="73"/>
      <c r="N572" s="73"/>
      <c r="O572" s="3" t="str">
        <f>IF(C572="","",IF(C572=5,IFERROR(INDEX(code_Note1!$F$13:$F$16,MATCH(E572,code_Note1!$E$13:$E$16,0)),INDEX(code_Note1!$F$16,1)),IF(B572&lt;code_Note1!$D$21,"No",IFERROR(VLOOKUP(C572,code_Note1!$D$3:$G$8,3,FALSE),""))))</f>
        <v>No</v>
      </c>
      <c r="P572" s="3" t="s">
        <v>831</v>
      </c>
    </row>
    <row r="573" spans="1:16" ht="19.5" customHeight="1">
      <c r="A573" s="2" t="s">
        <v>854</v>
      </c>
      <c r="B573" s="38">
        <v>45925</v>
      </c>
      <c r="C573" s="1">
        <v>1</v>
      </c>
      <c r="D573" s="1" t="s">
        <v>824</v>
      </c>
      <c r="E573" s="1" t="s">
        <v>476</v>
      </c>
      <c r="F573" s="8" t="s">
        <v>475</v>
      </c>
      <c r="G573" s="6">
        <v>11950000</v>
      </c>
      <c r="H573" s="6"/>
      <c r="I573" s="6"/>
      <c r="J573" s="7"/>
      <c r="K573" s="73"/>
      <c r="L573" s="73"/>
      <c r="M573" s="73"/>
      <c r="N573" s="73"/>
      <c r="O573" s="3" t="str">
        <f>IF(C573="","",IF(C573=5,IFERROR(INDEX(code_Note1!$F$13:$F$16,MATCH(E573,code_Note1!$E$13:$E$16,0)),INDEX(code_Note1!$F$16,1)),IF(B573&lt;code_Note1!$D$21,"No",IFERROR(VLOOKUP(C573,code_Note1!$D$3:$G$8,3,FALSE),""))))</f>
        <v>No</v>
      </c>
      <c r="P573" s="3" t="s">
        <v>832</v>
      </c>
    </row>
    <row r="574" spans="1:16" ht="19.5" customHeight="1">
      <c r="A574" s="2" t="s">
        <v>854</v>
      </c>
      <c r="B574" s="38">
        <v>45925</v>
      </c>
      <c r="C574" s="1">
        <v>2</v>
      </c>
      <c r="D574" s="1" t="s">
        <v>838</v>
      </c>
      <c r="E574" s="1" t="s">
        <v>51</v>
      </c>
      <c r="F574" s="8" t="s">
        <v>446</v>
      </c>
      <c r="G574" s="6">
        <v>1000000</v>
      </c>
      <c r="H574" s="6"/>
      <c r="I574" s="6"/>
      <c r="J574" s="7"/>
      <c r="K574" s="73"/>
      <c r="L574" s="73"/>
      <c r="M574" s="73"/>
      <c r="N574" s="73"/>
      <c r="O574" s="3" t="str">
        <f>IF(C574="","",IF(C574=5,IFERROR(INDEX(code_Note1!$F$13:$F$16,MATCH(E574,code_Note1!$E$13:$E$16,0)),INDEX(code_Note1!$F$16,1)),IF(B574&lt;code_Note1!$D$21,"No",IFERROR(VLOOKUP(C574,code_Note1!$D$3:$G$8,3,FALSE),""))))</f>
        <v>No</v>
      </c>
      <c r="P574" s="3" t="s">
        <v>831</v>
      </c>
    </row>
    <row r="575" spans="1:16" ht="19.5" customHeight="1">
      <c r="A575" s="2" t="s">
        <v>854</v>
      </c>
      <c r="B575" s="38">
        <v>45925</v>
      </c>
      <c r="C575" s="1">
        <v>2</v>
      </c>
      <c r="D575" s="1" t="s">
        <v>838</v>
      </c>
      <c r="E575" s="1" t="s">
        <v>478</v>
      </c>
      <c r="F575" s="8" t="s">
        <v>477</v>
      </c>
      <c r="G575" s="6">
        <v>7700000</v>
      </c>
      <c r="H575" s="6"/>
      <c r="I575" s="6"/>
      <c r="J575" s="7"/>
      <c r="K575" s="73"/>
      <c r="L575" s="73"/>
      <c r="M575" s="73"/>
      <c r="N575" s="73"/>
      <c r="O575" s="3" t="str">
        <f>IF(C575="","",IF(C575=5,IFERROR(INDEX(code_Note1!$F$13:$F$16,MATCH(E575,code_Note1!$E$13:$E$16,0)),INDEX(code_Note1!$F$16,1)),IF(B575&lt;code_Note1!$D$21,"No",IFERROR(VLOOKUP(C575,code_Note1!$D$3:$G$8,3,FALSE),""))))</f>
        <v>No</v>
      </c>
      <c r="P575" s="3" t="s">
        <v>831</v>
      </c>
    </row>
    <row r="576" spans="1:16" ht="19.5" customHeight="1">
      <c r="A576" s="2" t="s">
        <v>854</v>
      </c>
      <c r="B576" s="38">
        <v>45925</v>
      </c>
      <c r="C576" s="1">
        <v>2</v>
      </c>
      <c r="D576" s="1" t="s">
        <v>838</v>
      </c>
      <c r="E576" s="1" t="s">
        <v>111</v>
      </c>
      <c r="F576" s="8" t="s">
        <v>479</v>
      </c>
      <c r="G576" s="6">
        <v>800000</v>
      </c>
      <c r="H576" s="6"/>
      <c r="I576" s="6"/>
      <c r="J576" s="7"/>
      <c r="K576" s="73"/>
      <c r="L576" s="73"/>
      <c r="M576" s="73"/>
      <c r="N576" s="73"/>
      <c r="O576" s="3" t="str">
        <f>IF(C576="","",IF(C576=5,IFERROR(INDEX(code_Note1!$F$13:$F$16,MATCH(E576,code_Note1!$E$13:$E$16,0)),INDEX(code_Note1!$F$16,1)),IF(B576&lt;code_Note1!$D$21,"No",IFERROR(VLOOKUP(C576,code_Note1!$D$3:$G$8,3,FALSE),""))))</f>
        <v>No</v>
      </c>
      <c r="P576" s="3" t="s">
        <v>831</v>
      </c>
    </row>
    <row r="577" spans="1:16" ht="19.5" customHeight="1">
      <c r="A577" s="2" t="s">
        <v>854</v>
      </c>
      <c r="B577" s="38">
        <v>45926</v>
      </c>
      <c r="C577" s="1">
        <v>1</v>
      </c>
      <c r="D577" s="1" t="s">
        <v>824</v>
      </c>
      <c r="E577" s="1" t="s">
        <v>103</v>
      </c>
      <c r="F577" s="8" t="s">
        <v>480</v>
      </c>
      <c r="G577" s="6">
        <v>400000</v>
      </c>
      <c r="H577" s="6"/>
      <c r="I577" s="6"/>
      <c r="J577" s="7"/>
      <c r="K577" s="73"/>
      <c r="L577" s="73"/>
      <c r="M577" s="73"/>
      <c r="N577" s="73"/>
      <c r="O577" s="3" t="str">
        <f>IF(C577="","",IF(C577=5,IFERROR(INDEX(code_Note1!$F$13:$F$16,MATCH(E577,code_Note1!$E$13:$E$16,0)),INDEX(code_Note1!$F$16,1)),IF(B577&lt;code_Note1!$D$21,"No",IFERROR(VLOOKUP(C577,code_Note1!$D$3:$G$8,3,FALSE),""))))</f>
        <v>No</v>
      </c>
      <c r="P577" s="3" t="s">
        <v>832</v>
      </c>
    </row>
    <row r="578" spans="1:16" ht="19.5" customHeight="1">
      <c r="A578" s="2" t="s">
        <v>854</v>
      </c>
      <c r="B578" s="38">
        <v>45926</v>
      </c>
      <c r="C578" s="1">
        <v>2</v>
      </c>
      <c r="D578" s="1" t="s">
        <v>838</v>
      </c>
      <c r="E578" s="1" t="s">
        <v>111</v>
      </c>
      <c r="F578" s="8" t="s">
        <v>481</v>
      </c>
      <c r="G578" s="6">
        <v>1395000</v>
      </c>
      <c r="H578" s="6"/>
      <c r="I578" s="6"/>
      <c r="J578" s="7"/>
      <c r="K578" s="73"/>
      <c r="L578" s="73"/>
      <c r="M578" s="73"/>
      <c r="N578" s="73"/>
      <c r="O578" s="3" t="str">
        <f>IF(C578="","",IF(C578=5,IFERROR(INDEX(code_Note1!$F$13:$F$16,MATCH(E578,code_Note1!$E$13:$E$16,0)),INDEX(code_Note1!$F$16,1)),IF(B578&lt;code_Note1!$D$21,"No",IFERROR(VLOOKUP(C578,code_Note1!$D$3:$G$8,3,FALSE),""))))</f>
        <v>No</v>
      </c>
      <c r="P578" s="3" t="s">
        <v>831</v>
      </c>
    </row>
    <row r="579" spans="1:16" ht="19.5" customHeight="1">
      <c r="A579" s="2" t="s">
        <v>854</v>
      </c>
      <c r="B579" s="38">
        <v>45926</v>
      </c>
      <c r="C579" s="1">
        <v>2</v>
      </c>
      <c r="D579" s="1" t="s">
        <v>838</v>
      </c>
      <c r="E579" s="1" t="s">
        <v>483</v>
      </c>
      <c r="F579" s="8" t="s">
        <v>482</v>
      </c>
      <c r="G579" s="6">
        <v>1100000</v>
      </c>
      <c r="H579" s="6"/>
      <c r="I579" s="6"/>
      <c r="J579" s="7"/>
      <c r="K579" s="73"/>
      <c r="L579" s="73"/>
      <c r="M579" s="73"/>
      <c r="N579" s="73"/>
      <c r="O579" s="3" t="str">
        <f>IF(C579="","",IF(C579=5,IFERROR(INDEX(code_Note1!$F$13:$F$16,MATCH(E579,code_Note1!$E$13:$E$16,0)),INDEX(code_Note1!$F$16,1)),IF(B579&lt;code_Note1!$D$21,"No",IFERROR(VLOOKUP(C579,code_Note1!$D$3:$G$8,3,FALSE),""))))</f>
        <v>No</v>
      </c>
      <c r="P579" s="3" t="s">
        <v>831</v>
      </c>
    </row>
    <row r="580" spans="1:16" ht="19.5" customHeight="1">
      <c r="A580" s="2" t="s">
        <v>854</v>
      </c>
      <c r="B580" s="38">
        <v>45926</v>
      </c>
      <c r="C580" s="1">
        <v>2</v>
      </c>
      <c r="D580" s="1" t="s">
        <v>838</v>
      </c>
      <c r="E580" s="1" t="s">
        <v>21</v>
      </c>
      <c r="F580" s="8" t="s">
        <v>409</v>
      </c>
      <c r="G580" s="6">
        <v>120000</v>
      </c>
      <c r="H580" s="6"/>
      <c r="I580" s="6"/>
      <c r="J580" s="7"/>
      <c r="K580" s="73"/>
      <c r="L580" s="73"/>
      <c r="M580" s="73"/>
      <c r="N580" s="73"/>
      <c r="O580" s="3" t="str">
        <f>IF(C580="","",IF(C580=5,IFERROR(INDEX(code_Note1!$F$13:$F$16,MATCH(E580,code_Note1!$E$13:$E$16,0)),INDEX(code_Note1!$F$16,1)),IF(B580&lt;code_Note1!$D$21,"No",IFERROR(VLOOKUP(C580,code_Note1!$D$3:$G$8,3,FALSE),""))))</f>
        <v>No</v>
      </c>
      <c r="P580" s="3" t="s">
        <v>831</v>
      </c>
    </row>
    <row r="581" spans="1:16" ht="19.5" customHeight="1">
      <c r="A581" s="2" t="s">
        <v>854</v>
      </c>
      <c r="B581" s="38">
        <v>45926</v>
      </c>
      <c r="C581" s="1">
        <v>2</v>
      </c>
      <c r="D581" s="1" t="s">
        <v>838</v>
      </c>
      <c r="E581" s="1" t="s">
        <v>46</v>
      </c>
      <c r="F581" s="8" t="s">
        <v>324</v>
      </c>
      <c r="G581" s="6">
        <v>3200000</v>
      </c>
      <c r="H581" s="6"/>
      <c r="I581" s="6"/>
      <c r="J581" s="7"/>
      <c r="K581" s="73"/>
      <c r="L581" s="73"/>
      <c r="M581" s="73"/>
      <c r="N581" s="73"/>
      <c r="O581" s="3" t="str">
        <f>IF(C581="","",IF(C581=5,IFERROR(INDEX(code_Note1!$F$13:$F$16,MATCH(E581,code_Note1!$E$13:$E$16,0)),INDEX(code_Note1!$F$16,1)),IF(B581&lt;code_Note1!$D$21,"No",IFERROR(VLOOKUP(C581,code_Note1!$D$3:$G$8,3,FALSE),""))))</f>
        <v>No</v>
      </c>
      <c r="P581" s="3" t="s">
        <v>831</v>
      </c>
    </row>
    <row r="582" spans="1:16" ht="19.5" customHeight="1">
      <c r="A582" s="2" t="s">
        <v>854</v>
      </c>
      <c r="B582" s="38">
        <v>45926</v>
      </c>
      <c r="C582" s="1">
        <v>3</v>
      </c>
      <c r="D582" s="1" t="s">
        <v>823</v>
      </c>
      <c r="E582" s="1" t="s">
        <v>38</v>
      </c>
      <c r="F582" s="8" t="s">
        <v>484</v>
      </c>
      <c r="G582" s="6">
        <v>600000</v>
      </c>
      <c r="H582" s="6"/>
      <c r="I582" s="6"/>
      <c r="J582" s="7"/>
      <c r="K582" s="73"/>
      <c r="L582" s="73"/>
      <c r="M582" s="73"/>
      <c r="N582" s="73"/>
      <c r="O582" s="3" t="str">
        <f>IF(C582="","",IF(C582=5,IFERROR(INDEX(code_Note1!$F$13:$F$16,MATCH(E582,code_Note1!$E$13:$E$16,0)),INDEX(code_Note1!$F$16,1)),IF(B582&lt;code_Note1!$D$21,"No",IFERROR(VLOOKUP(C582,code_Note1!$D$3:$G$8,3,FALSE),""))))</f>
        <v>No</v>
      </c>
      <c r="P582" s="3" t="s">
        <v>832</v>
      </c>
    </row>
    <row r="583" spans="1:16" ht="19.5" customHeight="1">
      <c r="A583" s="2" t="s">
        <v>854</v>
      </c>
      <c r="B583" s="38">
        <v>45926</v>
      </c>
      <c r="C583" s="1">
        <v>2</v>
      </c>
      <c r="D583" s="1" t="s">
        <v>838</v>
      </c>
      <c r="E583" s="1" t="s">
        <v>111</v>
      </c>
      <c r="F583" s="8" t="s">
        <v>485</v>
      </c>
      <c r="G583" s="6">
        <v>0</v>
      </c>
      <c r="H583" s="6">
        <v>6048</v>
      </c>
      <c r="I583" s="6"/>
      <c r="J583" s="7"/>
      <c r="K583" s="73"/>
      <c r="L583" s="73"/>
      <c r="M583" s="73"/>
      <c r="N583" s="73"/>
      <c r="O583" s="3" t="str">
        <f>IF(C583="","",IF(C583=5,IFERROR(INDEX(code_Note1!$F$13:$F$16,MATCH(E583,code_Note1!$E$13:$E$16,0)),INDEX(code_Note1!$F$16,1)),IF(B583&lt;code_Note1!$D$21,"No",IFERROR(VLOOKUP(C583,code_Note1!$D$3:$G$8,3,FALSE),""))))</f>
        <v>No</v>
      </c>
      <c r="P583" s="3" t="s">
        <v>831</v>
      </c>
    </row>
    <row r="584" spans="1:16" ht="19.5" customHeight="1">
      <c r="A584" s="2" t="s">
        <v>856</v>
      </c>
      <c r="B584" s="38">
        <v>45927</v>
      </c>
      <c r="C584" s="1">
        <v>1</v>
      </c>
      <c r="D584" s="1" t="s">
        <v>824</v>
      </c>
      <c r="E584" s="1" t="s">
        <v>291</v>
      </c>
      <c r="F584" s="8" t="s">
        <v>486</v>
      </c>
      <c r="G584" s="6">
        <v>350000</v>
      </c>
      <c r="H584" s="6"/>
      <c r="I584" s="6"/>
      <c r="J584" s="7"/>
      <c r="K584" s="73"/>
      <c r="L584" s="73"/>
      <c r="M584" s="73"/>
      <c r="N584" s="73"/>
      <c r="O584" s="3" t="str">
        <f>IF(C584="","",IF(C584=5,IFERROR(INDEX(code_Note1!$F$13:$F$16,MATCH(E584,code_Note1!$E$13:$E$16,0)),INDEX(code_Note1!$F$16,1)),IF(B584&lt;code_Note1!$D$21,"No",IFERROR(VLOOKUP(C584,code_Note1!$D$3:$G$8,3,FALSE),""))))</f>
        <v>Yes</v>
      </c>
      <c r="P584" s="3" t="s">
        <v>832</v>
      </c>
    </row>
    <row r="585" spans="1:16" ht="19.5" customHeight="1">
      <c r="A585" s="2" t="s">
        <v>854</v>
      </c>
      <c r="B585" s="38">
        <v>45927</v>
      </c>
      <c r="C585" s="1">
        <v>2</v>
      </c>
      <c r="D585" s="1" t="s">
        <v>838</v>
      </c>
      <c r="E585" s="1" t="s">
        <v>21</v>
      </c>
      <c r="F585" s="8" t="s">
        <v>487</v>
      </c>
      <c r="G585" s="6">
        <v>875000</v>
      </c>
      <c r="H585" s="6"/>
      <c r="I585" s="6"/>
      <c r="J585" s="7"/>
      <c r="K585" s="73"/>
      <c r="L585" s="73"/>
      <c r="M585" s="73"/>
      <c r="N585" s="73"/>
      <c r="O585" s="3" t="str">
        <f>IF(C585="","",IF(C585=5,IFERROR(INDEX(code_Note1!$F$13:$F$16,MATCH(E585,code_Note1!$E$13:$E$16,0)),INDEX(code_Note1!$F$16,1)),IF(B585&lt;code_Note1!$D$21,"No",IFERROR(VLOOKUP(C585,code_Note1!$D$3:$G$8,3,FALSE),""))))</f>
        <v>No</v>
      </c>
      <c r="P585" s="3" t="s">
        <v>831</v>
      </c>
    </row>
    <row r="586" spans="1:16" ht="19.5" customHeight="1">
      <c r="A586" s="2" t="s">
        <v>854</v>
      </c>
      <c r="B586" s="38">
        <v>45927</v>
      </c>
      <c r="C586" s="1">
        <v>2</v>
      </c>
      <c r="D586" s="1" t="s">
        <v>838</v>
      </c>
      <c r="E586" s="1" t="s">
        <v>281</v>
      </c>
      <c r="F586" s="8" t="s">
        <v>488</v>
      </c>
      <c r="G586" s="6">
        <v>1000000</v>
      </c>
      <c r="H586" s="6"/>
      <c r="I586" s="6"/>
      <c r="J586" s="7"/>
      <c r="K586" s="73"/>
      <c r="L586" s="73"/>
      <c r="M586" s="73"/>
      <c r="N586" s="73"/>
      <c r="O586" s="3" t="str">
        <f>IF(C586="","",IF(C586=5,IFERROR(INDEX(code_Note1!$F$13:$F$16,MATCH(E586,code_Note1!$E$13:$E$16,0)),INDEX(code_Note1!$F$16,1)),IF(B586&lt;code_Note1!$D$21,"No",IFERROR(VLOOKUP(C586,code_Note1!$D$3:$G$8,3,FALSE),""))))</f>
        <v>No</v>
      </c>
      <c r="P586" s="3" t="s">
        <v>831</v>
      </c>
    </row>
    <row r="587" spans="1:16" ht="19.5" customHeight="1">
      <c r="A587" s="2" t="s">
        <v>854</v>
      </c>
      <c r="B587" s="38">
        <v>45927</v>
      </c>
      <c r="C587" s="1">
        <v>2</v>
      </c>
      <c r="D587" s="1" t="s">
        <v>838</v>
      </c>
      <c r="E587" s="1" t="s">
        <v>19</v>
      </c>
      <c r="F587" s="8" t="s">
        <v>489</v>
      </c>
      <c r="G587" s="6">
        <v>175000</v>
      </c>
      <c r="H587" s="6"/>
      <c r="I587" s="6"/>
      <c r="J587" s="7"/>
      <c r="K587" s="73"/>
      <c r="L587" s="73"/>
      <c r="M587" s="73"/>
      <c r="N587" s="73"/>
      <c r="O587" s="3" t="str">
        <f>IF(C587="","",IF(C587=5,IFERROR(INDEX(code_Note1!$F$13:$F$16,MATCH(E587,code_Note1!$E$13:$E$16,0)),INDEX(code_Note1!$F$16,1)),IF(B587&lt;code_Note1!$D$21,"No",IFERROR(VLOOKUP(C587,code_Note1!$D$3:$G$8,3,FALSE),""))))</f>
        <v>No</v>
      </c>
      <c r="P587" s="3" t="s">
        <v>831</v>
      </c>
    </row>
    <row r="588" spans="1:16" ht="19.5" customHeight="1">
      <c r="A588" s="2" t="s">
        <v>856</v>
      </c>
      <c r="B588" s="38">
        <v>45928</v>
      </c>
      <c r="C588" s="1">
        <v>1</v>
      </c>
      <c r="D588" s="1" t="s">
        <v>824</v>
      </c>
      <c r="E588" s="1" t="s">
        <v>476</v>
      </c>
      <c r="F588" s="8" t="s">
        <v>490</v>
      </c>
      <c r="G588" s="6">
        <v>3000000</v>
      </c>
      <c r="H588" s="6"/>
      <c r="I588" s="6"/>
      <c r="J588" s="7"/>
      <c r="K588" s="73"/>
      <c r="L588" s="73"/>
      <c r="M588" s="73"/>
      <c r="N588" s="73"/>
      <c r="O588" s="3" t="str">
        <f>IF(C588="","",IF(C588=5,IFERROR(INDEX(code_Note1!$F$13:$F$16,MATCH(E588,code_Note1!$E$13:$E$16,0)),INDEX(code_Note1!$F$16,1)),IF(B588&lt;code_Note1!$D$21,"No",IFERROR(VLOOKUP(C588,code_Note1!$D$3:$G$8,3,FALSE),""))))</f>
        <v>Yes</v>
      </c>
      <c r="P588" s="3" t="s">
        <v>832</v>
      </c>
    </row>
    <row r="589" spans="1:16" ht="19.5" customHeight="1">
      <c r="A589" s="2" t="s">
        <v>856</v>
      </c>
      <c r="B589" s="38">
        <v>45928</v>
      </c>
      <c r="C589" s="1">
        <v>1</v>
      </c>
      <c r="D589" s="1" t="s">
        <v>824</v>
      </c>
      <c r="E589" s="1" t="s">
        <v>476</v>
      </c>
      <c r="F589" s="8" t="s">
        <v>476</v>
      </c>
      <c r="G589" s="6">
        <v>8800000</v>
      </c>
      <c r="H589" s="6"/>
      <c r="I589" s="6"/>
      <c r="J589" s="7"/>
      <c r="K589" s="73"/>
      <c r="L589" s="73"/>
      <c r="M589" s="73"/>
      <c r="N589" s="73"/>
      <c r="O589" s="3" t="str">
        <f>IF(C589="","",IF(C589=5,IFERROR(INDEX(code_Note1!$F$13:$F$16,MATCH(E589,code_Note1!$E$13:$E$16,0)),INDEX(code_Note1!$F$16,1)),IF(B589&lt;code_Note1!$D$21,"No",IFERROR(VLOOKUP(C589,code_Note1!$D$3:$G$8,3,FALSE),""))))</f>
        <v>Yes</v>
      </c>
      <c r="P589" s="3" t="s">
        <v>832</v>
      </c>
    </row>
    <row r="590" spans="1:16" ht="19.5" customHeight="1">
      <c r="A590" s="2" t="s">
        <v>856</v>
      </c>
      <c r="B590" s="38">
        <v>45928</v>
      </c>
      <c r="C590" s="1">
        <v>1</v>
      </c>
      <c r="D590" s="1" t="s">
        <v>824</v>
      </c>
      <c r="E590" s="1" t="s">
        <v>476</v>
      </c>
      <c r="F590" s="8" t="s">
        <v>476</v>
      </c>
      <c r="G590" s="6">
        <v>2100000</v>
      </c>
      <c r="H590" s="6"/>
      <c r="I590" s="6"/>
      <c r="J590" s="7"/>
      <c r="K590" s="73"/>
      <c r="L590" s="73"/>
      <c r="M590" s="73"/>
      <c r="N590" s="73"/>
      <c r="O590" s="3" t="str">
        <f>IF(C590="","",IF(C590=5,IFERROR(INDEX(code_Note1!$F$13:$F$16,MATCH(E590,code_Note1!$E$13:$E$16,0)),INDEX(code_Note1!$F$16,1)),IF(B590&lt;code_Note1!$D$21,"No",IFERROR(VLOOKUP(C590,code_Note1!$D$3:$G$8,3,FALSE),""))))</f>
        <v>Yes</v>
      </c>
      <c r="P590" s="3" t="s">
        <v>832</v>
      </c>
    </row>
    <row r="591" spans="1:16" ht="19.5" customHeight="1">
      <c r="A591" s="2" t="s">
        <v>856</v>
      </c>
      <c r="B591" s="38">
        <v>45928</v>
      </c>
      <c r="C591" s="1">
        <v>1</v>
      </c>
      <c r="D591" s="1" t="s">
        <v>824</v>
      </c>
      <c r="E591" s="1" t="s">
        <v>476</v>
      </c>
      <c r="F591" s="8" t="s">
        <v>490</v>
      </c>
      <c r="G591" s="6">
        <v>3000000</v>
      </c>
      <c r="H591" s="6"/>
      <c r="I591" s="6"/>
      <c r="J591" s="7"/>
      <c r="K591" s="73"/>
      <c r="L591" s="73"/>
      <c r="M591" s="73"/>
      <c r="N591" s="73"/>
      <c r="O591" s="3" t="str">
        <f>IF(C591="","",IF(C591=5,IFERROR(INDEX(code_Note1!$F$13:$F$16,MATCH(E591,code_Note1!$E$13:$E$16,0)),INDEX(code_Note1!$F$16,1)),IF(B591&lt;code_Note1!$D$21,"No",IFERROR(VLOOKUP(C591,code_Note1!$D$3:$G$8,3,FALSE),""))))</f>
        <v>Yes</v>
      </c>
      <c r="P591" s="3" t="s">
        <v>832</v>
      </c>
    </row>
    <row r="592" spans="1:16" ht="19.5" customHeight="1">
      <c r="A592" s="2" t="s">
        <v>856</v>
      </c>
      <c r="B592" s="38">
        <v>45928</v>
      </c>
      <c r="C592" s="1">
        <v>3</v>
      </c>
      <c r="D592" s="1" t="s">
        <v>823</v>
      </c>
      <c r="E592" s="1" t="s">
        <v>147</v>
      </c>
      <c r="F592" s="8" t="s">
        <v>209</v>
      </c>
      <c r="G592" s="6">
        <v>630000</v>
      </c>
      <c r="H592" s="6"/>
      <c r="I592" s="6"/>
      <c r="J592" s="7"/>
      <c r="K592" s="73"/>
      <c r="L592" s="73"/>
      <c r="M592" s="73"/>
      <c r="N592" s="73"/>
      <c r="O592" s="3" t="str">
        <f>IF(C592="","",IF(C592=5,IFERROR(INDEX(code_Note1!$F$13:$F$16,MATCH(E592,code_Note1!$E$13:$E$16,0)),INDEX(code_Note1!$F$16,1)),IF(B592&lt;code_Note1!$D$21,"No",IFERROR(VLOOKUP(C592,code_Note1!$D$3:$G$8,3,FALSE),""))))</f>
        <v>yes</v>
      </c>
      <c r="P592" s="3" t="s">
        <v>832</v>
      </c>
    </row>
    <row r="593" spans="1:16" ht="19.5" customHeight="1">
      <c r="A593" s="2" t="s">
        <v>854</v>
      </c>
      <c r="B593" s="38">
        <v>45928</v>
      </c>
      <c r="C593" s="1" t="s">
        <v>844</v>
      </c>
      <c r="D593" s="1" t="s">
        <v>826</v>
      </c>
      <c r="E593" s="28" t="s">
        <v>46</v>
      </c>
      <c r="F593" s="8" t="s">
        <v>491</v>
      </c>
      <c r="G593" s="6">
        <v>5000000</v>
      </c>
      <c r="H593" s="6"/>
      <c r="I593" s="6"/>
      <c r="J593" s="7"/>
      <c r="K593" s="73"/>
      <c r="L593" s="73"/>
      <c r="M593" s="73"/>
      <c r="N593" s="73"/>
      <c r="O593" s="3" t="str">
        <f>IF(C593="","",IF(C593=5,IFERROR(INDEX(code_Note1!$F$13:$F$16,MATCH(E593,code_Note1!$E$13:$E$16,0)),INDEX(code_Note1!$F$16,1)),IF(B593&lt;code_Note1!$D$21,"No",IFERROR(VLOOKUP(C593,code_Note1!$D$3:$G$8,3,FALSE),""))))</f>
        <v>No</v>
      </c>
      <c r="P593" s="3" t="s">
        <v>833</v>
      </c>
    </row>
    <row r="594" spans="1:16" ht="19.5" customHeight="1">
      <c r="A594" s="2" t="s">
        <v>854</v>
      </c>
      <c r="B594" s="38">
        <v>45928</v>
      </c>
      <c r="C594" s="1">
        <v>2</v>
      </c>
      <c r="D594" s="1" t="s">
        <v>838</v>
      </c>
      <c r="E594" s="1" t="s">
        <v>51</v>
      </c>
      <c r="F594" s="8" t="s">
        <v>302</v>
      </c>
      <c r="G594" s="6">
        <v>2200000</v>
      </c>
      <c r="H594" s="6"/>
      <c r="I594" s="6"/>
      <c r="J594" s="7"/>
      <c r="K594" s="73"/>
      <c r="L594" s="73"/>
      <c r="M594" s="73"/>
      <c r="N594" s="73"/>
      <c r="O594" s="3" t="str">
        <f>IF(C594="","",IF(C594=5,IFERROR(INDEX(code_Note1!$F$13:$F$16,MATCH(E594,code_Note1!$E$13:$E$16,0)),INDEX(code_Note1!$F$16,1)),IF(B594&lt;code_Note1!$D$21,"No",IFERROR(VLOOKUP(C594,code_Note1!$D$3:$G$8,3,FALSE),""))))</f>
        <v>No</v>
      </c>
      <c r="P594" s="3" t="s">
        <v>831</v>
      </c>
    </row>
    <row r="595" spans="1:16" ht="19.5" customHeight="1">
      <c r="A595" s="2" t="s">
        <v>856</v>
      </c>
      <c r="B595" s="38">
        <v>45929</v>
      </c>
      <c r="C595" s="1">
        <v>1</v>
      </c>
      <c r="D595" s="1" t="s">
        <v>824</v>
      </c>
      <c r="E595" s="1" t="s">
        <v>293</v>
      </c>
      <c r="F595" s="8" t="s">
        <v>421</v>
      </c>
      <c r="G595" s="6">
        <v>2200000</v>
      </c>
      <c r="H595" s="6"/>
      <c r="I595" s="6"/>
      <c r="J595" s="7"/>
      <c r="K595" s="73"/>
      <c r="L595" s="73"/>
      <c r="M595" s="73"/>
      <c r="N595" s="73"/>
      <c r="O595" s="3" t="str">
        <f>IF(C595="","",IF(C595=5,IFERROR(INDEX(code_Note1!$F$13:$F$16,MATCH(E595,code_Note1!$E$13:$E$16,0)),INDEX(code_Note1!$F$16,1)),IF(B595&lt;code_Note1!$D$21,"No",IFERROR(VLOOKUP(C595,code_Note1!$D$3:$G$8,3,FALSE),""))))</f>
        <v>Yes</v>
      </c>
      <c r="P595" s="3" t="s">
        <v>832</v>
      </c>
    </row>
    <row r="596" spans="1:16" ht="19.5" customHeight="1">
      <c r="A596" s="2" t="s">
        <v>856</v>
      </c>
      <c r="B596" s="38">
        <v>45929</v>
      </c>
      <c r="C596" s="1">
        <v>1</v>
      </c>
      <c r="D596" s="1" t="s">
        <v>824</v>
      </c>
      <c r="E596" s="1" t="s">
        <v>293</v>
      </c>
      <c r="F596" s="8" t="s">
        <v>492</v>
      </c>
      <c r="G596" s="6">
        <v>2400000</v>
      </c>
      <c r="H596" s="6"/>
      <c r="I596" s="6"/>
      <c r="J596" s="7"/>
      <c r="K596" s="73"/>
      <c r="L596" s="73"/>
      <c r="M596" s="73"/>
      <c r="N596" s="73"/>
      <c r="O596" s="3" t="str">
        <f>IF(C596="","",IF(C596=5,IFERROR(INDEX(code_Note1!$F$13:$F$16,MATCH(E596,code_Note1!$E$13:$E$16,0)),INDEX(code_Note1!$F$16,1)),IF(B596&lt;code_Note1!$D$21,"No",IFERROR(VLOOKUP(C596,code_Note1!$D$3:$G$8,3,FALSE),""))))</f>
        <v>Yes</v>
      </c>
      <c r="P596" s="3" t="s">
        <v>832</v>
      </c>
    </row>
    <row r="597" spans="1:16" ht="19.5" customHeight="1">
      <c r="A597" s="2" t="s">
        <v>854</v>
      </c>
      <c r="B597" s="38">
        <v>45929</v>
      </c>
      <c r="C597" s="1" t="s">
        <v>844</v>
      </c>
      <c r="D597" s="1" t="s">
        <v>826</v>
      </c>
      <c r="E597" s="28" t="s">
        <v>414</v>
      </c>
      <c r="F597" s="8" t="s">
        <v>493</v>
      </c>
      <c r="G597" s="6">
        <v>0</v>
      </c>
      <c r="H597" s="6">
        <v>100000</v>
      </c>
      <c r="I597" s="6"/>
      <c r="J597" s="7"/>
      <c r="K597" s="73"/>
      <c r="L597" s="73"/>
      <c r="M597" s="73"/>
      <c r="N597" s="73"/>
      <c r="O597" s="3" t="str">
        <f>IF(C597="","",IF(C597=5,IFERROR(INDEX(code_Note1!$F$13:$F$16,MATCH(E597,code_Note1!$E$13:$E$16,0)),INDEX(code_Note1!$F$16,1)),IF(B597&lt;code_Note1!$D$21,"No",IFERROR(VLOOKUP(C597,code_Note1!$D$3:$G$8,3,FALSE),""))))</f>
        <v>No</v>
      </c>
      <c r="P597" s="3" t="s">
        <v>833</v>
      </c>
    </row>
    <row r="598" spans="1:16" ht="19.5" customHeight="1">
      <c r="A598" s="2" t="s">
        <v>854</v>
      </c>
      <c r="B598" s="38">
        <v>45929</v>
      </c>
      <c r="C598" s="1">
        <v>2</v>
      </c>
      <c r="D598" s="1" t="s">
        <v>838</v>
      </c>
      <c r="E598" s="1" t="s">
        <v>281</v>
      </c>
      <c r="F598" s="8" t="s">
        <v>494</v>
      </c>
      <c r="G598" s="6">
        <v>1500000</v>
      </c>
      <c r="H598" s="6"/>
      <c r="I598" s="6"/>
      <c r="J598" s="7"/>
      <c r="K598" s="73"/>
      <c r="L598" s="73"/>
      <c r="M598" s="73"/>
      <c r="N598" s="73"/>
      <c r="O598" s="3" t="str">
        <f>IF(C598="","",IF(C598=5,IFERROR(INDEX(code_Note1!$F$13:$F$16,MATCH(E598,code_Note1!$E$13:$E$16,0)),INDEX(code_Note1!$F$16,1)),IF(B598&lt;code_Note1!$D$21,"No",IFERROR(VLOOKUP(C598,code_Note1!$D$3:$G$8,3,FALSE),""))))</f>
        <v>No</v>
      </c>
      <c r="P598" s="3" t="s">
        <v>831</v>
      </c>
    </row>
    <row r="599" spans="1:16" ht="19.5" customHeight="1">
      <c r="A599" s="2" t="s">
        <v>856</v>
      </c>
      <c r="B599" s="38">
        <v>45929</v>
      </c>
      <c r="C599" s="1">
        <v>3</v>
      </c>
      <c r="D599" s="1" t="s">
        <v>823</v>
      </c>
      <c r="E599" s="1" t="s">
        <v>44</v>
      </c>
      <c r="F599" s="8" t="s">
        <v>187</v>
      </c>
      <c r="G599" s="6">
        <v>180000</v>
      </c>
      <c r="H599" s="6"/>
      <c r="I599" s="6"/>
      <c r="J599" s="7"/>
      <c r="K599" s="73"/>
      <c r="L599" s="73"/>
      <c r="M599" s="73"/>
      <c r="N599" s="73"/>
      <c r="O599" s="3" t="str">
        <f>IF(C599="","",IF(C599=5,IFERROR(INDEX(code_Note1!$F$13:$F$16,MATCH(E599,code_Note1!$E$13:$E$16,0)),INDEX(code_Note1!$F$16,1)),IF(B599&lt;code_Note1!$D$21,"No",IFERROR(VLOOKUP(C599,code_Note1!$D$3:$G$8,3,FALSE),""))))</f>
        <v>yes</v>
      </c>
      <c r="P599" s="3" t="s">
        <v>832</v>
      </c>
    </row>
    <row r="600" spans="1:16" ht="19.5" customHeight="1">
      <c r="A600" s="2" t="s">
        <v>856</v>
      </c>
      <c r="B600" s="38">
        <v>45930</v>
      </c>
      <c r="C600" s="1">
        <v>1</v>
      </c>
      <c r="D600" s="1" t="s">
        <v>824</v>
      </c>
      <c r="E600" s="1" t="s">
        <v>291</v>
      </c>
      <c r="F600" s="8" t="s">
        <v>404</v>
      </c>
      <c r="G600" s="6">
        <v>360000</v>
      </c>
      <c r="H600" s="6"/>
      <c r="I600" s="6"/>
      <c r="J600" s="7"/>
      <c r="K600" s="73"/>
      <c r="L600" s="73"/>
      <c r="M600" s="73"/>
      <c r="N600" s="73"/>
      <c r="O600" s="3" t="str">
        <f>IF(C600="","",IF(C600=5,IFERROR(INDEX(code_Note1!$F$13:$F$16,MATCH(E600,code_Note1!$E$13:$E$16,0)),INDEX(code_Note1!$F$16,1)),IF(B600&lt;code_Note1!$D$21,"No",IFERROR(VLOOKUP(C600,code_Note1!$D$3:$G$8,3,FALSE),""))))</f>
        <v>Yes</v>
      </c>
      <c r="P600" s="3" t="s">
        <v>832</v>
      </c>
    </row>
    <row r="601" spans="1:16" ht="19.5" customHeight="1">
      <c r="A601" s="2" t="s">
        <v>856</v>
      </c>
      <c r="B601" s="38">
        <v>45930</v>
      </c>
      <c r="C601" s="1">
        <v>1</v>
      </c>
      <c r="D601" s="1" t="s">
        <v>824</v>
      </c>
      <c r="E601" s="1" t="s">
        <v>103</v>
      </c>
      <c r="F601" s="8" t="s">
        <v>495</v>
      </c>
      <c r="G601" s="6">
        <v>450000</v>
      </c>
      <c r="H601" s="6"/>
      <c r="I601" s="6"/>
      <c r="J601" s="7"/>
      <c r="K601" s="73"/>
      <c r="L601" s="73"/>
      <c r="M601" s="73"/>
      <c r="N601" s="73"/>
      <c r="O601" s="3" t="str">
        <f>IF(C601="","",IF(C601=5,IFERROR(INDEX(code_Note1!$F$13:$F$16,MATCH(E601,code_Note1!$E$13:$E$16,0)),INDEX(code_Note1!$F$16,1)),IF(B601&lt;code_Note1!$D$21,"No",IFERROR(VLOOKUP(C601,code_Note1!$D$3:$G$8,3,FALSE),""))))</f>
        <v>Yes</v>
      </c>
      <c r="P601" s="3" t="s">
        <v>832</v>
      </c>
    </row>
    <row r="602" spans="1:16" ht="19.5" customHeight="1">
      <c r="A602" s="2" t="s">
        <v>854</v>
      </c>
      <c r="B602" s="38">
        <v>45930</v>
      </c>
      <c r="C602" s="1">
        <v>2</v>
      </c>
      <c r="D602" s="1" t="s">
        <v>838</v>
      </c>
      <c r="E602" s="1" t="s">
        <v>51</v>
      </c>
      <c r="F602" s="8" t="s">
        <v>446</v>
      </c>
      <c r="G602" s="6">
        <v>0</v>
      </c>
      <c r="H602" s="6">
        <v>0</v>
      </c>
      <c r="I602" s="6">
        <v>108.98</v>
      </c>
      <c r="J602" s="7"/>
      <c r="K602" s="73"/>
      <c r="L602" s="73"/>
      <c r="M602" s="73"/>
      <c r="N602" s="73"/>
      <c r="O602" s="3" t="str">
        <f>IF(C602="","",IF(C602=5,IFERROR(INDEX(code_Note1!$F$13:$F$16,MATCH(E602,code_Note1!$E$13:$E$16,0)),INDEX(code_Note1!$F$16,1)),IF(B602&lt;code_Note1!$D$21,"No",IFERROR(VLOOKUP(C602,code_Note1!$D$3:$G$8,3,FALSE),""))))</f>
        <v>No</v>
      </c>
      <c r="P602" s="3" t="s">
        <v>831</v>
      </c>
    </row>
    <row r="603" spans="1:16" ht="19.5" customHeight="1">
      <c r="A603" s="2" t="s">
        <v>854</v>
      </c>
      <c r="B603" s="38">
        <v>45930</v>
      </c>
      <c r="C603" s="1">
        <v>2</v>
      </c>
      <c r="D603" s="1" t="s">
        <v>838</v>
      </c>
      <c r="E603" s="1" t="s">
        <v>46</v>
      </c>
      <c r="F603" s="8" t="s">
        <v>496</v>
      </c>
      <c r="G603" s="6">
        <v>14000000</v>
      </c>
      <c r="H603" s="6">
        <v>0</v>
      </c>
      <c r="I603" s="6"/>
      <c r="J603" s="7"/>
      <c r="K603" s="73"/>
      <c r="L603" s="73"/>
      <c r="M603" s="73"/>
      <c r="N603" s="73"/>
      <c r="O603" s="3" t="str">
        <f>IF(C603="","",IF(C603=5,IFERROR(INDEX(code_Note1!$F$13:$F$16,MATCH(E603,code_Note1!$E$13:$E$16,0)),INDEX(code_Note1!$F$16,1)),IF(B603&lt;code_Note1!$D$21,"No",IFERROR(VLOOKUP(C603,code_Note1!$D$3:$G$8,3,FALSE),""))))</f>
        <v>No</v>
      </c>
      <c r="P603" s="3" t="s">
        <v>831</v>
      </c>
    </row>
    <row r="604" spans="1:16" ht="19.5" customHeight="1">
      <c r="A604" s="2" t="s">
        <v>854</v>
      </c>
      <c r="B604" s="38">
        <v>45930</v>
      </c>
      <c r="C604" s="1">
        <v>2</v>
      </c>
      <c r="D604" s="1" t="s">
        <v>838</v>
      </c>
      <c r="E604" s="1" t="s">
        <v>46</v>
      </c>
      <c r="F604" s="8" t="s">
        <v>130</v>
      </c>
      <c r="G604" s="6">
        <v>750000</v>
      </c>
      <c r="H604" s="6"/>
      <c r="I604" s="6"/>
      <c r="J604" s="7"/>
      <c r="K604" s="73"/>
      <c r="L604" s="73"/>
      <c r="M604" s="73"/>
      <c r="N604" s="73"/>
      <c r="O604" s="3" t="str">
        <f>IF(C604="","",IF(C604=5,IFERROR(INDEX(code_Note1!$F$13:$F$16,MATCH(E604,code_Note1!$E$13:$E$16,0)),INDEX(code_Note1!$F$16,1)),IF(B604&lt;code_Note1!$D$21,"No",IFERROR(VLOOKUP(C604,code_Note1!$D$3:$G$8,3,FALSE),""))))</f>
        <v>No</v>
      </c>
      <c r="P604" s="3" t="s">
        <v>831</v>
      </c>
    </row>
    <row r="605" spans="1:16" ht="19.5" customHeight="1">
      <c r="A605" s="2" t="s">
        <v>854</v>
      </c>
      <c r="B605" s="38">
        <v>45930</v>
      </c>
      <c r="C605" s="1">
        <v>2</v>
      </c>
      <c r="D605" s="1" t="s">
        <v>838</v>
      </c>
      <c r="E605" s="1" t="s">
        <v>51</v>
      </c>
      <c r="F605" s="8" t="s">
        <v>446</v>
      </c>
      <c r="G605" s="6">
        <v>30000</v>
      </c>
      <c r="H605" s="6"/>
      <c r="I605" s="6"/>
      <c r="J605" s="7"/>
      <c r="K605" s="73"/>
      <c r="L605" s="73"/>
      <c r="M605" s="73"/>
      <c r="N605" s="73"/>
      <c r="O605" s="3" t="str">
        <f>IF(C605="","",IF(C605=5,IFERROR(INDEX(code_Note1!$F$13:$F$16,MATCH(E605,code_Note1!$E$13:$E$16,0)),INDEX(code_Note1!$F$16,1)),IF(B605&lt;code_Note1!$D$21,"No",IFERROR(VLOOKUP(C605,code_Note1!$D$3:$G$8,3,FALSE),""))))</f>
        <v>No</v>
      </c>
      <c r="P605" s="3" t="s">
        <v>831</v>
      </c>
    </row>
    <row r="606" spans="1:16" ht="19.5" customHeight="1">
      <c r="A606" s="2" t="s">
        <v>856</v>
      </c>
      <c r="B606" s="38">
        <v>45931</v>
      </c>
      <c r="C606" s="1">
        <v>3</v>
      </c>
      <c r="D606" s="1" t="s">
        <v>823</v>
      </c>
      <c r="E606" s="1" t="s">
        <v>38</v>
      </c>
      <c r="F606" s="8" t="s">
        <v>497</v>
      </c>
      <c r="G606" s="6">
        <v>180000</v>
      </c>
      <c r="H606" s="6"/>
      <c r="I606" s="6"/>
      <c r="J606" s="7"/>
      <c r="K606" s="73"/>
      <c r="L606" s="73"/>
      <c r="M606" s="73"/>
      <c r="N606" s="73"/>
      <c r="O606" s="3" t="str">
        <f>IF(C606="","",IF(C606=5,IFERROR(INDEX(code_Note1!$F$13:$F$16,MATCH(E606,code_Note1!$E$13:$E$16,0)),INDEX(code_Note1!$F$16,1)),IF(B606&lt;code_Note1!$D$21,"No",IFERROR(VLOOKUP(C606,code_Note1!$D$3:$G$8,3,FALSE),""))))</f>
        <v>yes</v>
      </c>
      <c r="P606" s="3" t="s">
        <v>832</v>
      </c>
    </row>
    <row r="607" spans="1:16" ht="19.5" customHeight="1">
      <c r="A607" s="2" t="s">
        <v>854</v>
      </c>
      <c r="B607" s="38">
        <v>45932</v>
      </c>
      <c r="C607" s="1" t="s">
        <v>844</v>
      </c>
      <c r="D607" s="1" t="s">
        <v>826</v>
      </c>
      <c r="E607" s="1" t="s">
        <v>127</v>
      </c>
      <c r="F607" s="8" t="s">
        <v>498</v>
      </c>
      <c r="G607" s="6">
        <v>0</v>
      </c>
      <c r="H607" s="6">
        <v>150000</v>
      </c>
      <c r="I607" s="6"/>
      <c r="J607" s="7"/>
      <c r="K607" s="73"/>
      <c r="L607" s="73"/>
      <c r="M607" s="73"/>
      <c r="N607" s="73"/>
      <c r="O607" s="3" t="str">
        <f>IF(C607="","",IF(C607=5,IFERROR(INDEX(code_Note1!$F$13:$F$16,MATCH(E607,code_Note1!$E$13:$E$16,0)),INDEX(code_Note1!$F$16,1)),IF(B607&lt;code_Note1!$D$21,"No",IFERROR(VLOOKUP(C607,code_Note1!$D$3:$G$8,3,FALSE),""))))</f>
        <v>No</v>
      </c>
      <c r="P607" s="3" t="s">
        <v>833</v>
      </c>
    </row>
    <row r="608" spans="1:16" ht="19.5" customHeight="1">
      <c r="A608" s="2" t="s">
        <v>854</v>
      </c>
      <c r="B608" s="38">
        <v>45932</v>
      </c>
      <c r="C608" s="1" t="s">
        <v>844</v>
      </c>
      <c r="D608" s="1" t="s">
        <v>826</v>
      </c>
      <c r="E608" s="28" t="s">
        <v>46</v>
      </c>
      <c r="F608" s="8" t="s">
        <v>499</v>
      </c>
      <c r="G608" s="6">
        <v>0</v>
      </c>
      <c r="H608" s="6">
        <v>139000</v>
      </c>
      <c r="I608" s="6"/>
      <c r="J608" s="7"/>
      <c r="K608" s="73"/>
      <c r="L608" s="73"/>
      <c r="M608" s="73"/>
      <c r="N608" s="73"/>
      <c r="O608" s="3" t="str">
        <f>IF(C608="","",IF(C608=5,IFERROR(INDEX(code_Note1!$F$13:$F$16,MATCH(E608,code_Note1!$E$13:$E$16,0)),INDEX(code_Note1!$F$16,1)),IF(B608&lt;code_Note1!$D$21,"No",IFERROR(VLOOKUP(C608,code_Note1!$D$3:$G$8,3,FALSE),""))))</f>
        <v>No</v>
      </c>
      <c r="P608" s="3" t="s">
        <v>833</v>
      </c>
    </row>
    <row r="609" spans="1:16" ht="19.5" customHeight="1">
      <c r="A609" s="2" t="s">
        <v>854</v>
      </c>
      <c r="B609" s="38">
        <v>45932</v>
      </c>
      <c r="C609" s="1" t="s">
        <v>844</v>
      </c>
      <c r="D609" s="1" t="s">
        <v>826</v>
      </c>
      <c r="E609" s="28" t="s">
        <v>414</v>
      </c>
      <c r="F609" s="8" t="s">
        <v>500</v>
      </c>
      <c r="G609" s="6">
        <v>12000000</v>
      </c>
      <c r="H609" s="6"/>
      <c r="I609" s="6"/>
      <c r="J609" s="7"/>
      <c r="K609" s="73"/>
      <c r="L609" s="73"/>
      <c r="M609" s="73"/>
      <c r="N609" s="73"/>
      <c r="O609" s="3" t="str">
        <f>IF(C609="","",IF(C609=5,IFERROR(INDEX(code_Note1!$F$13:$F$16,MATCH(E609,code_Note1!$E$13:$E$16,0)),INDEX(code_Note1!$F$16,1)),IF(B609&lt;code_Note1!$D$21,"No",IFERROR(VLOOKUP(C609,code_Note1!$D$3:$G$8,3,FALSE),""))))</f>
        <v>No</v>
      </c>
      <c r="P609" s="3" t="s">
        <v>833</v>
      </c>
    </row>
    <row r="610" spans="1:16" ht="19.5" customHeight="1">
      <c r="A610" s="2" t="s">
        <v>856</v>
      </c>
      <c r="B610" s="38">
        <v>45932</v>
      </c>
      <c r="C610" s="1">
        <v>1</v>
      </c>
      <c r="D610" s="1" t="s">
        <v>824</v>
      </c>
      <c r="E610" s="1" t="s">
        <v>54</v>
      </c>
      <c r="F610" s="8" t="s">
        <v>501</v>
      </c>
      <c r="G610" s="6">
        <v>325000</v>
      </c>
      <c r="H610" s="6"/>
      <c r="I610" s="6"/>
      <c r="J610" s="7"/>
      <c r="K610" s="73"/>
      <c r="L610" s="73"/>
      <c r="M610" s="73"/>
      <c r="N610" s="73"/>
      <c r="O610" s="3" t="str">
        <f>IF(C610="","",IF(C610=5,IFERROR(INDEX(code_Note1!$F$13:$F$16,MATCH(E610,code_Note1!$E$13:$E$16,0)),INDEX(code_Note1!$F$16,1)),IF(B610&lt;code_Note1!$D$21,"No",IFERROR(VLOOKUP(C610,code_Note1!$D$3:$G$8,3,FALSE),""))))</f>
        <v>Yes</v>
      </c>
      <c r="P610" s="3" t="s">
        <v>832</v>
      </c>
    </row>
    <row r="611" spans="1:16" ht="19.5" customHeight="1">
      <c r="A611" s="2" t="s">
        <v>856</v>
      </c>
      <c r="B611" s="38">
        <v>45932</v>
      </c>
      <c r="C611" s="1">
        <v>3</v>
      </c>
      <c r="D611" s="1" t="s">
        <v>823</v>
      </c>
      <c r="E611" s="1" t="s">
        <v>38</v>
      </c>
      <c r="F611" s="8" t="s">
        <v>502</v>
      </c>
      <c r="G611" s="6">
        <v>150000</v>
      </c>
      <c r="H611" s="6"/>
      <c r="I611" s="6"/>
      <c r="J611" s="7"/>
      <c r="K611" s="73"/>
      <c r="L611" s="73"/>
      <c r="M611" s="73"/>
      <c r="N611" s="73"/>
      <c r="O611" s="3" t="str">
        <f>IF(C611="","",IF(C611=5,IFERROR(INDEX(code_Note1!$F$13:$F$16,MATCH(E611,code_Note1!$E$13:$E$16,0)),INDEX(code_Note1!$F$16,1)),IF(B611&lt;code_Note1!$D$21,"No",IFERROR(VLOOKUP(C611,code_Note1!$D$3:$G$8,3,FALSE),""))))</f>
        <v>yes</v>
      </c>
      <c r="P611" s="3" t="s">
        <v>832</v>
      </c>
    </row>
    <row r="612" spans="1:16" ht="19.5" customHeight="1">
      <c r="A612" s="2" t="s">
        <v>854</v>
      </c>
      <c r="B612" s="38">
        <v>45933</v>
      </c>
      <c r="C612" s="1">
        <v>2</v>
      </c>
      <c r="D612" s="1" t="s">
        <v>838</v>
      </c>
      <c r="E612" s="1" t="s">
        <v>281</v>
      </c>
      <c r="F612" s="8" t="s">
        <v>503</v>
      </c>
      <c r="G612" s="6">
        <v>0</v>
      </c>
      <c r="H612" s="6">
        <v>20000</v>
      </c>
      <c r="I612" s="6"/>
      <c r="J612" s="7"/>
      <c r="K612" s="73"/>
      <c r="L612" s="73"/>
      <c r="M612" s="73"/>
      <c r="N612" s="73"/>
      <c r="O612" s="3" t="str">
        <f>IF(C612="","",IF(C612=5,IFERROR(INDEX(code_Note1!$F$13:$F$16,MATCH(E612,code_Note1!$E$13:$E$16,0)),INDEX(code_Note1!$F$16,1)),IF(B612&lt;code_Note1!$D$21,"No",IFERROR(VLOOKUP(C612,code_Note1!$D$3:$G$8,3,FALSE),""))))</f>
        <v>No</v>
      </c>
      <c r="P612" s="3" t="s">
        <v>831</v>
      </c>
    </row>
    <row r="613" spans="1:16" ht="19.5" customHeight="1">
      <c r="A613" s="2" t="s">
        <v>854</v>
      </c>
      <c r="B613" s="38">
        <v>45933</v>
      </c>
      <c r="C613" s="1">
        <v>2</v>
      </c>
      <c r="D613" s="1" t="s">
        <v>838</v>
      </c>
      <c r="E613" s="1" t="s">
        <v>21</v>
      </c>
      <c r="F613" s="8" t="s">
        <v>504</v>
      </c>
      <c r="G613" s="6">
        <v>600000</v>
      </c>
      <c r="H613" s="6"/>
      <c r="I613" s="6"/>
      <c r="J613" s="7"/>
      <c r="K613" s="73"/>
      <c r="L613" s="73"/>
      <c r="M613" s="73"/>
      <c r="N613" s="73"/>
      <c r="O613" s="3" t="str">
        <f>IF(C613="","",IF(C613=5,IFERROR(INDEX(code_Note1!$F$13:$F$16,MATCH(E613,code_Note1!$E$13:$E$16,0)),INDEX(code_Note1!$F$16,1)),IF(B613&lt;code_Note1!$D$21,"No",IFERROR(VLOOKUP(C613,code_Note1!$D$3:$G$8,3,FALSE),""))))</f>
        <v>No</v>
      </c>
      <c r="P613" s="3" t="s">
        <v>831</v>
      </c>
    </row>
    <row r="614" spans="1:16" ht="19.5" customHeight="1">
      <c r="A614" s="2" t="s">
        <v>854</v>
      </c>
      <c r="B614" s="38">
        <v>45934</v>
      </c>
      <c r="C614" s="1" t="s">
        <v>844</v>
      </c>
      <c r="D614" s="1" t="s">
        <v>826</v>
      </c>
      <c r="E614" s="1" t="s">
        <v>127</v>
      </c>
      <c r="F614" s="8" t="s">
        <v>505</v>
      </c>
      <c r="G614" s="6">
        <v>6713000</v>
      </c>
      <c r="H614" s="6"/>
      <c r="I614" s="6"/>
      <c r="J614" s="7"/>
      <c r="K614" s="73"/>
      <c r="L614" s="73"/>
      <c r="M614" s="73"/>
      <c r="N614" s="73"/>
      <c r="O614" s="3" t="str">
        <f>IF(C614="","",IF(C614=5,IFERROR(INDEX(code_Note1!$F$13:$F$16,MATCH(E614,code_Note1!$E$13:$E$16,0)),INDEX(code_Note1!$F$16,1)),IF(B614&lt;code_Note1!$D$21,"No",IFERROR(VLOOKUP(C614,code_Note1!$D$3:$G$8,3,FALSE),""))))</f>
        <v>No</v>
      </c>
      <c r="P614" s="3" t="s">
        <v>833</v>
      </c>
    </row>
    <row r="615" spans="1:16" ht="19.5" customHeight="1">
      <c r="A615" s="2" t="s">
        <v>854</v>
      </c>
      <c r="B615" s="38">
        <v>45934</v>
      </c>
      <c r="C615" s="1" t="s">
        <v>844</v>
      </c>
      <c r="D615" s="1" t="s">
        <v>826</v>
      </c>
      <c r="E615" s="1" t="s">
        <v>127</v>
      </c>
      <c r="F615" s="8" t="s">
        <v>506</v>
      </c>
      <c r="G615" s="6">
        <v>0</v>
      </c>
      <c r="H615" s="6">
        <v>15306</v>
      </c>
      <c r="I615" s="6"/>
      <c r="J615" s="7"/>
      <c r="K615" s="73"/>
      <c r="L615" s="73"/>
      <c r="M615" s="73"/>
      <c r="N615" s="73"/>
      <c r="O615" s="3" t="str">
        <f>IF(C615="","",IF(C615=5,IFERROR(INDEX(code_Note1!$F$13:$F$16,MATCH(E615,code_Note1!$E$13:$E$16,0)),INDEX(code_Note1!$F$16,1)),IF(B615&lt;code_Note1!$D$21,"No",IFERROR(VLOOKUP(C615,code_Note1!$D$3:$G$8,3,FALSE),""))))</f>
        <v>No</v>
      </c>
      <c r="P615" s="3" t="s">
        <v>833</v>
      </c>
    </row>
    <row r="616" spans="1:16" ht="19.5" customHeight="1">
      <c r="A616" s="2" t="s">
        <v>854</v>
      </c>
      <c r="B616" s="38">
        <v>45934</v>
      </c>
      <c r="C616" s="1" t="s">
        <v>844</v>
      </c>
      <c r="D616" s="1" t="s">
        <v>826</v>
      </c>
      <c r="E616" s="28" t="s">
        <v>281</v>
      </c>
      <c r="F616" s="8" t="s">
        <v>507</v>
      </c>
      <c r="G616" s="6">
        <v>0</v>
      </c>
      <c r="H616" s="6">
        <v>7694</v>
      </c>
      <c r="I616" s="6"/>
      <c r="J616" s="7"/>
      <c r="K616" s="73"/>
      <c r="L616" s="73"/>
      <c r="M616" s="73"/>
      <c r="N616" s="73"/>
      <c r="O616" s="3" t="str">
        <f>IF(C616="","",IF(C616=5,IFERROR(INDEX(code_Note1!$F$13:$F$16,MATCH(E616,code_Note1!$E$13:$E$16,0)),INDEX(code_Note1!$F$16,1)),IF(B616&lt;code_Note1!$D$21,"No",IFERROR(VLOOKUP(C616,code_Note1!$D$3:$G$8,3,FALSE),""))))</f>
        <v>No</v>
      </c>
      <c r="P616" s="3" t="s">
        <v>833</v>
      </c>
    </row>
    <row r="617" spans="1:16" ht="19.5" customHeight="1">
      <c r="A617" s="2" t="s">
        <v>854</v>
      </c>
      <c r="B617" s="38">
        <v>45934</v>
      </c>
      <c r="C617" s="1">
        <v>2</v>
      </c>
      <c r="D617" s="1" t="s">
        <v>838</v>
      </c>
      <c r="E617" s="1" t="s">
        <v>46</v>
      </c>
      <c r="F617" s="8" t="s">
        <v>365</v>
      </c>
      <c r="G617" s="6">
        <v>5000000</v>
      </c>
      <c r="H617" s="6"/>
      <c r="I617" s="6"/>
      <c r="J617" s="7"/>
      <c r="K617" s="73"/>
      <c r="L617" s="73"/>
      <c r="M617" s="73"/>
      <c r="N617" s="73"/>
      <c r="O617" s="3" t="str">
        <f>IF(C617="","",IF(C617=5,IFERROR(INDEX(code_Note1!$F$13:$F$16,MATCH(E617,code_Note1!$E$13:$E$16,0)),INDEX(code_Note1!$F$16,1)),IF(B617&lt;code_Note1!$D$21,"No",IFERROR(VLOOKUP(C617,code_Note1!$D$3:$G$8,3,FALSE),""))))</f>
        <v>No</v>
      </c>
      <c r="P617" s="3" t="s">
        <v>831</v>
      </c>
    </row>
    <row r="618" spans="1:16" ht="19.5" customHeight="1">
      <c r="A618" s="2" t="s">
        <v>854</v>
      </c>
      <c r="B618" s="38">
        <v>45936</v>
      </c>
      <c r="C618" s="1">
        <v>2</v>
      </c>
      <c r="D618" s="1" t="s">
        <v>838</v>
      </c>
      <c r="E618" s="1" t="s">
        <v>111</v>
      </c>
      <c r="F618" s="8" t="s">
        <v>508</v>
      </c>
      <c r="G618" s="6">
        <v>2120000</v>
      </c>
      <c r="H618" s="6"/>
      <c r="I618" s="6"/>
      <c r="J618" s="7"/>
      <c r="K618" s="73"/>
      <c r="L618" s="73"/>
      <c r="M618" s="73"/>
      <c r="N618" s="73"/>
      <c r="O618" s="3" t="str">
        <f>IF(C618="","",IF(C618=5,IFERROR(INDEX(code_Note1!$F$13:$F$16,MATCH(E618,code_Note1!$E$13:$E$16,0)),INDEX(code_Note1!$F$16,1)),IF(B618&lt;code_Note1!$D$21,"No",IFERROR(VLOOKUP(C618,code_Note1!$D$3:$G$8,3,FALSE),""))))</f>
        <v>No</v>
      </c>
      <c r="P618" s="3" t="s">
        <v>831</v>
      </c>
    </row>
    <row r="619" spans="1:16" ht="19.5" customHeight="1">
      <c r="A619" s="2" t="s">
        <v>856</v>
      </c>
      <c r="B619" s="38">
        <v>45937</v>
      </c>
      <c r="C619" s="1">
        <v>3</v>
      </c>
      <c r="D619" s="1" t="s">
        <v>823</v>
      </c>
      <c r="E619" s="1" t="s">
        <v>44</v>
      </c>
      <c r="F619" s="8" t="s">
        <v>509</v>
      </c>
      <c r="G619" s="6">
        <v>144000</v>
      </c>
      <c r="H619" s="6"/>
      <c r="I619" s="6"/>
      <c r="J619" s="7"/>
      <c r="K619" s="73"/>
      <c r="L619" s="73"/>
      <c r="M619" s="73"/>
      <c r="N619" s="73"/>
      <c r="O619" s="3" t="str">
        <f>IF(C619="","",IF(C619=5,IFERROR(INDEX(code_Note1!$F$13:$F$16,MATCH(E619,code_Note1!$E$13:$E$16,0)),INDEX(code_Note1!$F$16,1)),IF(B619&lt;code_Note1!$D$21,"No",IFERROR(VLOOKUP(C619,code_Note1!$D$3:$G$8,3,FALSE),""))))</f>
        <v>yes</v>
      </c>
      <c r="P619" s="3" t="s">
        <v>832</v>
      </c>
    </row>
    <row r="620" spans="1:16" ht="19.5" customHeight="1">
      <c r="A620" s="2" t="s">
        <v>854</v>
      </c>
      <c r="B620" s="38">
        <v>45937</v>
      </c>
      <c r="C620" s="1">
        <v>2</v>
      </c>
      <c r="D620" s="1" t="s">
        <v>838</v>
      </c>
      <c r="E620" s="1" t="s">
        <v>46</v>
      </c>
      <c r="F620" s="8" t="s">
        <v>48</v>
      </c>
      <c r="G620" s="6">
        <v>5700000</v>
      </c>
      <c r="H620" s="6"/>
      <c r="I620" s="6"/>
      <c r="J620" s="7"/>
      <c r="K620" s="73"/>
      <c r="L620" s="73"/>
      <c r="M620" s="73"/>
      <c r="N620" s="73"/>
      <c r="O620" s="3" t="str">
        <f>IF(C620="","",IF(C620=5,IFERROR(INDEX(code_Note1!$F$13:$F$16,MATCH(E620,code_Note1!$E$13:$E$16,0)),INDEX(code_Note1!$F$16,1)),IF(B620&lt;code_Note1!$D$21,"No",IFERROR(VLOOKUP(C620,code_Note1!$D$3:$G$8,3,FALSE),""))))</f>
        <v>No</v>
      </c>
      <c r="P620" s="3" t="s">
        <v>831</v>
      </c>
    </row>
    <row r="621" spans="1:16" ht="19.5" customHeight="1">
      <c r="A621" s="2" t="s">
        <v>854</v>
      </c>
      <c r="B621" s="38">
        <v>45939</v>
      </c>
      <c r="C621" s="1" t="s">
        <v>844</v>
      </c>
      <c r="D621" s="1" t="s">
        <v>826</v>
      </c>
      <c r="E621" s="28" t="s">
        <v>21</v>
      </c>
      <c r="F621" s="8" t="s">
        <v>510</v>
      </c>
      <c r="G621" s="6">
        <v>0</v>
      </c>
      <c r="H621" s="6">
        <v>28000</v>
      </c>
      <c r="I621" s="6"/>
      <c r="J621" s="7"/>
      <c r="K621" s="73"/>
      <c r="L621" s="73"/>
      <c r="M621" s="73"/>
      <c r="N621" s="73"/>
      <c r="O621" s="3" t="str">
        <f>IF(C621="","",IF(C621=5,IFERROR(INDEX(code_Note1!$F$13:$F$16,MATCH(E621,code_Note1!$E$13:$E$16,0)),INDEX(code_Note1!$F$16,1)),IF(B621&lt;code_Note1!$D$21,"No",IFERROR(VLOOKUP(C621,code_Note1!$D$3:$G$8,3,FALSE),""))))</f>
        <v>No</v>
      </c>
      <c r="P621" s="3" t="s">
        <v>833</v>
      </c>
    </row>
    <row r="622" spans="1:16" ht="19.5" customHeight="1">
      <c r="A622" s="2" t="s">
        <v>854</v>
      </c>
      <c r="B622" s="38">
        <v>45939</v>
      </c>
      <c r="C622" s="1" t="s">
        <v>844</v>
      </c>
      <c r="D622" s="1" t="s">
        <v>826</v>
      </c>
      <c r="E622" s="28" t="s">
        <v>446</v>
      </c>
      <c r="F622" s="8" t="s">
        <v>511</v>
      </c>
      <c r="G622" s="6">
        <v>0</v>
      </c>
      <c r="H622" s="6">
        <v>4300</v>
      </c>
      <c r="I622" s="6"/>
      <c r="J622" s="7"/>
      <c r="K622" s="73"/>
      <c r="L622" s="73"/>
      <c r="M622" s="73"/>
      <c r="N622" s="73"/>
      <c r="O622" s="3" t="str">
        <f>IF(C622="","",IF(C622=5,IFERROR(INDEX(code_Note1!$F$13:$F$16,MATCH(E622,code_Note1!$E$13:$E$16,0)),INDEX(code_Note1!$F$16,1)),IF(B622&lt;code_Note1!$D$21,"No",IFERROR(VLOOKUP(C622,code_Note1!$D$3:$G$8,3,FALSE),""))))</f>
        <v>No</v>
      </c>
      <c r="P622" s="3" t="s">
        <v>833</v>
      </c>
    </row>
    <row r="623" spans="1:16" ht="19.5" customHeight="1">
      <c r="A623" s="2" t="s">
        <v>856</v>
      </c>
      <c r="B623" s="38">
        <v>45939</v>
      </c>
      <c r="C623" s="1">
        <v>3</v>
      </c>
      <c r="D623" s="1" t="s">
        <v>823</v>
      </c>
      <c r="E623" s="1" t="s">
        <v>147</v>
      </c>
      <c r="F623" s="8" t="s">
        <v>209</v>
      </c>
      <c r="G623" s="6">
        <v>650000</v>
      </c>
      <c r="H623" s="6"/>
      <c r="I623" s="6"/>
      <c r="J623" s="7"/>
      <c r="K623" s="73"/>
      <c r="L623" s="73"/>
      <c r="M623" s="73"/>
      <c r="N623" s="73"/>
      <c r="O623" s="3" t="str">
        <f>IF(C623="","",IF(C623=5,IFERROR(INDEX(code_Note1!$F$13:$F$16,MATCH(E623,code_Note1!$E$13:$E$16,0)),INDEX(code_Note1!$F$16,1)),IF(B623&lt;code_Note1!$D$21,"No",IFERROR(VLOOKUP(C623,code_Note1!$D$3:$G$8,3,FALSE),""))))</f>
        <v>yes</v>
      </c>
      <c r="P623" s="3" t="s">
        <v>832</v>
      </c>
    </row>
    <row r="624" spans="1:16" ht="19.5" customHeight="1">
      <c r="A624" s="2" t="s">
        <v>854</v>
      </c>
      <c r="B624" s="38">
        <v>45940</v>
      </c>
      <c r="C624" s="1">
        <v>2</v>
      </c>
      <c r="D624" s="1" t="s">
        <v>838</v>
      </c>
      <c r="E624" s="1" t="s">
        <v>42</v>
      </c>
      <c r="F624" s="8" t="s">
        <v>267</v>
      </c>
      <c r="G624" s="6">
        <v>3100000</v>
      </c>
      <c r="H624" s="6"/>
      <c r="I624" s="6"/>
      <c r="J624" s="7"/>
      <c r="K624" s="73"/>
      <c r="L624" s="73"/>
      <c r="M624" s="73"/>
      <c r="N624" s="73"/>
      <c r="O624" s="3" t="str">
        <f>IF(C624="","",IF(C624=5,IFERROR(INDEX(code_Note1!$F$13:$F$16,MATCH(E624,code_Note1!$E$13:$E$16,0)),INDEX(code_Note1!$F$16,1)),IF(B624&lt;code_Note1!$D$21,"No",IFERROR(VLOOKUP(C624,code_Note1!$D$3:$G$8,3,FALSE),""))))</f>
        <v>No</v>
      </c>
      <c r="P624" s="3" t="s">
        <v>831</v>
      </c>
    </row>
    <row r="625" spans="1:16" ht="19.5" customHeight="1">
      <c r="A625" s="2" t="s">
        <v>854</v>
      </c>
      <c r="B625" s="38">
        <v>45941</v>
      </c>
      <c r="C625" s="1" t="s">
        <v>844</v>
      </c>
      <c r="D625" s="1" t="s">
        <v>826</v>
      </c>
      <c r="E625" s="1" t="s">
        <v>127</v>
      </c>
      <c r="F625" s="8" t="s">
        <v>512</v>
      </c>
      <c r="G625" s="6">
        <v>0</v>
      </c>
      <c r="H625" s="6">
        <v>41000</v>
      </c>
      <c r="I625" s="6"/>
      <c r="J625" s="7"/>
      <c r="K625" s="73"/>
      <c r="L625" s="73"/>
      <c r="M625" s="73"/>
      <c r="N625" s="73"/>
      <c r="O625" s="3" t="str">
        <f>IF(C625="","",IF(C625=5,IFERROR(INDEX(code_Note1!$F$13:$F$16,MATCH(E625,code_Note1!$E$13:$E$16,0)),INDEX(code_Note1!$F$16,1)),IF(B625&lt;code_Note1!$D$21,"No",IFERROR(VLOOKUP(C625,code_Note1!$D$3:$G$8,3,FALSE),""))))</f>
        <v>No</v>
      </c>
      <c r="P625" s="3" t="s">
        <v>833</v>
      </c>
    </row>
    <row r="626" spans="1:16" ht="19.5" customHeight="1">
      <c r="A626" s="2" t="s">
        <v>854</v>
      </c>
      <c r="B626" s="38">
        <v>45941</v>
      </c>
      <c r="C626" s="1">
        <v>2</v>
      </c>
      <c r="D626" s="1" t="s">
        <v>838</v>
      </c>
      <c r="E626" s="1" t="s">
        <v>109</v>
      </c>
      <c r="F626" s="8" t="s">
        <v>513</v>
      </c>
      <c r="G626" s="6">
        <v>2500000</v>
      </c>
      <c r="H626" s="6"/>
      <c r="I626" s="6"/>
      <c r="J626" s="7"/>
      <c r="K626" s="73"/>
      <c r="L626" s="73"/>
      <c r="M626" s="73"/>
      <c r="N626" s="73"/>
      <c r="O626" s="3" t="str">
        <f>IF(C626="","",IF(C626=5,IFERROR(INDEX(code_Note1!$F$13:$F$16,MATCH(E626,code_Note1!$E$13:$E$16,0)),INDEX(code_Note1!$F$16,1)),IF(B626&lt;code_Note1!$D$21,"No",IFERROR(VLOOKUP(C626,code_Note1!$D$3:$G$8,3,FALSE),""))))</f>
        <v>No</v>
      </c>
      <c r="P626" s="3" t="s">
        <v>831</v>
      </c>
    </row>
    <row r="627" spans="1:16" ht="19.5" customHeight="1">
      <c r="A627" s="2" t="s">
        <v>854</v>
      </c>
      <c r="B627" s="38">
        <v>45941</v>
      </c>
      <c r="C627" s="1">
        <v>2</v>
      </c>
      <c r="D627" s="1" t="s">
        <v>838</v>
      </c>
      <c r="E627" s="1" t="s">
        <v>111</v>
      </c>
      <c r="F627" s="8" t="s">
        <v>514</v>
      </c>
      <c r="G627" s="6">
        <v>1600000</v>
      </c>
      <c r="H627" s="6"/>
      <c r="I627" s="6"/>
      <c r="J627" s="7"/>
      <c r="K627" s="73"/>
      <c r="L627" s="73"/>
      <c r="M627" s="73"/>
      <c r="N627" s="73"/>
      <c r="O627" s="3" t="str">
        <f>IF(C627="","",IF(C627=5,IFERROR(INDEX(code_Note1!$F$13:$F$16,MATCH(E627,code_Note1!$E$13:$E$16,0)),INDEX(code_Note1!$F$16,1)),IF(B627&lt;code_Note1!$D$21,"No",IFERROR(VLOOKUP(C627,code_Note1!$D$3:$G$8,3,FALSE),""))))</f>
        <v>No</v>
      </c>
      <c r="P627" s="3" t="s">
        <v>831</v>
      </c>
    </row>
    <row r="628" spans="1:16" ht="19.5" customHeight="1">
      <c r="A628" s="2" t="s">
        <v>854</v>
      </c>
      <c r="B628" s="38">
        <v>45941</v>
      </c>
      <c r="C628" s="1">
        <v>2</v>
      </c>
      <c r="D628" s="1" t="s">
        <v>838</v>
      </c>
      <c r="E628" s="1" t="s">
        <v>221</v>
      </c>
      <c r="F628" s="8" t="s">
        <v>515</v>
      </c>
      <c r="G628" s="6">
        <v>7500000</v>
      </c>
      <c r="H628" s="6"/>
      <c r="I628" s="6"/>
      <c r="J628" s="7"/>
      <c r="K628" s="73"/>
      <c r="L628" s="73"/>
      <c r="M628" s="73"/>
      <c r="N628" s="73"/>
      <c r="O628" s="3" t="str">
        <f>IF(C628="","",IF(C628=5,IFERROR(INDEX(code_Note1!$F$13:$F$16,MATCH(E628,code_Note1!$E$13:$E$16,0)),INDEX(code_Note1!$F$16,1)),IF(B628&lt;code_Note1!$D$21,"No",IFERROR(VLOOKUP(C628,code_Note1!$D$3:$G$8,3,FALSE),""))))</f>
        <v>No</v>
      </c>
      <c r="P628" s="3" t="s">
        <v>831</v>
      </c>
    </row>
    <row r="629" spans="1:16" ht="19.5" customHeight="1">
      <c r="A629" s="2" t="s">
        <v>856</v>
      </c>
      <c r="B629" s="38">
        <v>45941</v>
      </c>
      <c r="C629" s="1">
        <v>3</v>
      </c>
      <c r="D629" s="1" t="s">
        <v>823</v>
      </c>
      <c r="E629" s="1" t="s">
        <v>12</v>
      </c>
      <c r="F629" s="8" t="s">
        <v>12</v>
      </c>
      <c r="G629" s="6">
        <v>920000</v>
      </c>
      <c r="H629" s="6"/>
      <c r="I629" s="6"/>
      <c r="J629" s="7"/>
      <c r="K629" s="73"/>
      <c r="L629" s="73"/>
      <c r="M629" s="73"/>
      <c r="N629" s="73"/>
      <c r="O629" s="3" t="str">
        <f>IF(C629="","",IF(C629=5,IFERROR(INDEX(code_Note1!$F$13:$F$16,MATCH(E629,code_Note1!$E$13:$E$16,0)),INDEX(code_Note1!$F$16,1)),IF(B629&lt;code_Note1!$D$21,"No",IFERROR(VLOOKUP(C629,code_Note1!$D$3:$G$8,3,FALSE),""))))</f>
        <v>yes</v>
      </c>
      <c r="P629" s="3" t="s">
        <v>832</v>
      </c>
    </row>
    <row r="630" spans="1:16" ht="19.5" customHeight="1">
      <c r="A630" s="2" t="s">
        <v>854</v>
      </c>
      <c r="B630" s="38">
        <v>45942</v>
      </c>
      <c r="C630" s="1" t="s">
        <v>844</v>
      </c>
      <c r="D630" s="1" t="s">
        <v>826</v>
      </c>
      <c r="E630" s="28" t="s">
        <v>46</v>
      </c>
      <c r="F630" s="8" t="s">
        <v>516</v>
      </c>
      <c r="G630" s="6">
        <v>0</v>
      </c>
      <c r="H630" s="6">
        <v>5000</v>
      </c>
      <c r="I630" s="6"/>
      <c r="J630" s="7"/>
      <c r="K630" s="73"/>
      <c r="L630" s="73"/>
      <c r="M630" s="73"/>
      <c r="N630" s="73"/>
      <c r="O630" s="3" t="str">
        <f>IF(C630="","",IF(C630=5,IFERROR(INDEX(code_Note1!$F$13:$F$16,MATCH(E630,code_Note1!$E$13:$E$16,0)),INDEX(code_Note1!$F$16,1)),IF(B630&lt;code_Note1!$D$21,"No",IFERROR(VLOOKUP(C630,code_Note1!$D$3:$G$8,3,FALSE),""))))</f>
        <v>No</v>
      </c>
      <c r="P630" s="3" t="s">
        <v>833</v>
      </c>
    </row>
    <row r="631" spans="1:16" ht="19.5" customHeight="1">
      <c r="A631" s="2" t="s">
        <v>854</v>
      </c>
      <c r="B631" s="38">
        <v>45942</v>
      </c>
      <c r="C631" s="1">
        <v>2</v>
      </c>
      <c r="D631" s="1" t="s">
        <v>838</v>
      </c>
      <c r="E631" s="1" t="s">
        <v>111</v>
      </c>
      <c r="F631" s="8" t="s">
        <v>518</v>
      </c>
      <c r="G631" s="6">
        <v>3575000</v>
      </c>
      <c r="H631" s="6"/>
      <c r="I631" s="6"/>
      <c r="J631" s="7"/>
      <c r="K631" s="73"/>
      <c r="L631" s="73"/>
      <c r="M631" s="73"/>
      <c r="N631" s="73"/>
      <c r="O631" s="3" t="str">
        <f>IF(C631="","",IF(C631=5,IFERROR(INDEX(code_Note1!$F$13:$F$16,MATCH(E631,code_Note1!$E$13:$E$16,0)),INDEX(code_Note1!$F$16,1)),IF(B631&lt;code_Note1!$D$21,"No",IFERROR(VLOOKUP(C631,code_Note1!$D$3:$G$8,3,FALSE),""))))</f>
        <v>No</v>
      </c>
      <c r="P631" s="3" t="s">
        <v>831</v>
      </c>
    </row>
    <row r="632" spans="1:16" ht="19.5" customHeight="1">
      <c r="A632" s="2" t="s">
        <v>854</v>
      </c>
      <c r="B632" s="38">
        <v>45942</v>
      </c>
      <c r="C632" s="1">
        <v>2</v>
      </c>
      <c r="D632" s="1" t="s">
        <v>838</v>
      </c>
      <c r="E632" s="1" t="s">
        <v>21</v>
      </c>
      <c r="F632" s="8" t="s">
        <v>519</v>
      </c>
      <c r="G632" s="6">
        <v>540000</v>
      </c>
      <c r="H632" s="6"/>
      <c r="I632" s="6"/>
      <c r="J632" s="7"/>
      <c r="K632" s="73"/>
      <c r="L632" s="73"/>
      <c r="M632" s="73"/>
      <c r="N632" s="73"/>
      <c r="O632" s="3" t="str">
        <f>IF(C632="","",IF(C632=5,IFERROR(INDEX(code_Note1!$F$13:$F$16,MATCH(E632,code_Note1!$E$13:$E$16,0)),INDEX(code_Note1!$F$16,1)),IF(B632&lt;code_Note1!$D$21,"No",IFERROR(VLOOKUP(C632,code_Note1!$D$3:$G$8,3,FALSE),""))))</f>
        <v>No</v>
      </c>
      <c r="P632" s="3" t="s">
        <v>831</v>
      </c>
    </row>
    <row r="633" spans="1:16" ht="19.5" customHeight="1">
      <c r="A633" s="2" t="s">
        <v>854</v>
      </c>
      <c r="B633" s="38">
        <v>45942</v>
      </c>
      <c r="C633" s="1">
        <v>2</v>
      </c>
      <c r="D633" s="1" t="s">
        <v>838</v>
      </c>
      <c r="E633" s="1" t="s">
        <v>46</v>
      </c>
      <c r="F633" s="8" t="s">
        <v>130</v>
      </c>
      <c r="G633" s="6">
        <v>600000</v>
      </c>
      <c r="H633" s="6"/>
      <c r="I633" s="6"/>
      <c r="J633" s="7"/>
      <c r="K633" s="73"/>
      <c r="L633" s="73"/>
      <c r="M633" s="73"/>
      <c r="N633" s="73"/>
      <c r="O633" s="3" t="str">
        <f>IF(C633="","",IF(C633=5,IFERROR(INDEX(code_Note1!$F$13:$F$16,MATCH(E633,code_Note1!$E$13:$E$16,0)),INDEX(code_Note1!$F$16,1)),IF(B633&lt;code_Note1!$D$21,"No",IFERROR(VLOOKUP(C633,code_Note1!$D$3:$G$8,3,FALSE),""))))</f>
        <v>No</v>
      </c>
      <c r="P633" s="3" t="s">
        <v>831</v>
      </c>
    </row>
    <row r="634" spans="1:16" ht="19.5" customHeight="1">
      <c r="A634" s="2" t="s">
        <v>856</v>
      </c>
      <c r="B634" s="38">
        <v>45944</v>
      </c>
      <c r="C634" s="1">
        <v>3</v>
      </c>
      <c r="D634" s="1" t="s">
        <v>823</v>
      </c>
      <c r="E634" s="29" t="s">
        <v>521</v>
      </c>
      <c r="F634" s="32" t="s">
        <v>520</v>
      </c>
      <c r="G634" s="6">
        <v>10000000</v>
      </c>
      <c r="H634" s="6"/>
      <c r="I634" s="6"/>
      <c r="J634" s="7"/>
      <c r="K634" s="73"/>
      <c r="L634" s="73"/>
      <c r="M634" s="73"/>
      <c r="N634" s="73"/>
      <c r="O634" s="3" t="str">
        <f>IF(C634="","",IF(C634=5,IFERROR(INDEX(code_Note1!$F$13:$F$16,MATCH(E634,code_Note1!$E$13:$E$16,0)),INDEX(code_Note1!$F$16,1)),IF(B634&lt;code_Note1!$D$21,"No",IFERROR(VLOOKUP(C634,code_Note1!$D$3:$G$8,3,FALSE),""))))</f>
        <v>yes</v>
      </c>
      <c r="P634" s="3" t="s">
        <v>832</v>
      </c>
    </row>
    <row r="635" spans="1:16" ht="19.5" customHeight="1">
      <c r="A635" s="2" t="s">
        <v>854</v>
      </c>
      <c r="B635" s="38">
        <v>45944</v>
      </c>
      <c r="C635" s="1" t="s">
        <v>844</v>
      </c>
      <c r="D635" s="1" t="s">
        <v>826</v>
      </c>
      <c r="E635" s="28" t="s">
        <v>523</v>
      </c>
      <c r="F635" s="8" t="s">
        <v>522</v>
      </c>
      <c r="G635" s="6">
        <v>177660000</v>
      </c>
      <c r="H635" s="6"/>
      <c r="I635" s="6"/>
      <c r="J635" s="7"/>
      <c r="K635" s="73"/>
      <c r="L635" s="73"/>
      <c r="M635" s="73"/>
      <c r="N635" s="73"/>
      <c r="O635" s="3" t="str">
        <f>IF(C635="","",IF(C635=5,IFERROR(INDEX(code_Note1!$F$13:$F$16,MATCH(E635,code_Note1!$E$13:$E$16,0)),INDEX(code_Note1!$F$16,1)),IF(B635&lt;code_Note1!$D$21,"No",IFERROR(VLOOKUP(C635,code_Note1!$D$3:$G$8,3,FALSE),""))))</f>
        <v>No</v>
      </c>
      <c r="P635" s="3" t="s">
        <v>833</v>
      </c>
    </row>
    <row r="636" spans="1:16" ht="19.5" customHeight="1">
      <c r="A636" s="2" t="s">
        <v>856</v>
      </c>
      <c r="B636" s="38">
        <v>45945</v>
      </c>
      <c r="C636" s="1">
        <v>1</v>
      </c>
      <c r="D636" s="1" t="s">
        <v>824</v>
      </c>
      <c r="E636" s="27" t="s">
        <v>62</v>
      </c>
      <c r="F636" s="8" t="s">
        <v>524</v>
      </c>
      <c r="G636" s="6">
        <v>600000</v>
      </c>
      <c r="H636" s="6"/>
      <c r="I636" s="6"/>
      <c r="J636" s="7"/>
      <c r="K636" s="73"/>
      <c r="L636" s="73"/>
      <c r="M636" s="73"/>
      <c r="N636" s="73"/>
      <c r="O636" s="3" t="str">
        <f>IF(C636="","",IF(C636=5,IFERROR(INDEX(code_Note1!$F$13:$F$16,MATCH(E636,code_Note1!$E$13:$E$16,0)),INDEX(code_Note1!$F$16,1)),IF(B636&lt;code_Note1!$D$21,"No",IFERROR(VLOOKUP(C636,code_Note1!$D$3:$G$8,3,FALSE),""))))</f>
        <v>Yes</v>
      </c>
      <c r="P636" s="3" t="s">
        <v>832</v>
      </c>
    </row>
    <row r="637" spans="1:16" ht="19.5" customHeight="1">
      <c r="A637" s="2" t="s">
        <v>854</v>
      </c>
      <c r="B637" s="38">
        <v>45945</v>
      </c>
      <c r="C637" s="1">
        <v>2</v>
      </c>
      <c r="D637" s="1" t="s">
        <v>838</v>
      </c>
      <c r="E637" s="1" t="s">
        <v>281</v>
      </c>
      <c r="F637" s="8" t="s">
        <v>525</v>
      </c>
      <c r="G637" s="6">
        <v>0</v>
      </c>
      <c r="H637" s="6">
        <v>1539</v>
      </c>
      <c r="I637" s="6"/>
      <c r="J637" s="7"/>
      <c r="K637" s="73"/>
      <c r="L637" s="73"/>
      <c r="M637" s="73"/>
      <c r="N637" s="73"/>
      <c r="O637" s="3" t="str">
        <f>IF(C637="","",IF(C637=5,IFERROR(INDEX(code_Note1!$F$13:$F$16,MATCH(E637,code_Note1!$E$13:$E$16,0)),INDEX(code_Note1!$F$16,1)),IF(B637&lt;code_Note1!$D$21,"No",IFERROR(VLOOKUP(C637,code_Note1!$D$3:$G$8,3,FALSE),""))))</f>
        <v>No</v>
      </c>
      <c r="P637" s="3" t="s">
        <v>831</v>
      </c>
    </row>
    <row r="638" spans="1:16" ht="19.5" customHeight="1">
      <c r="A638" s="2" t="s">
        <v>856</v>
      </c>
      <c r="B638" s="38">
        <v>45945</v>
      </c>
      <c r="C638" s="1">
        <v>3</v>
      </c>
      <c r="D638" s="1" t="s">
        <v>823</v>
      </c>
      <c r="E638" s="1" t="s">
        <v>12</v>
      </c>
      <c r="F638" s="8" t="s">
        <v>12</v>
      </c>
      <c r="G638" s="6">
        <v>150000</v>
      </c>
      <c r="H638" s="6"/>
      <c r="I638" s="6"/>
      <c r="J638" s="7"/>
      <c r="K638" s="73"/>
      <c r="L638" s="73"/>
      <c r="M638" s="73"/>
      <c r="N638" s="73"/>
      <c r="O638" s="3" t="str">
        <f>IF(C638="","",IF(C638=5,IFERROR(INDEX(code_Note1!$F$13:$F$16,MATCH(E638,code_Note1!$E$13:$E$16,0)),INDEX(code_Note1!$F$16,1)),IF(B638&lt;code_Note1!$D$21,"No",IFERROR(VLOOKUP(C638,code_Note1!$D$3:$G$8,3,FALSE),""))))</f>
        <v>yes</v>
      </c>
      <c r="P638" s="3" t="s">
        <v>832</v>
      </c>
    </row>
    <row r="639" spans="1:16" ht="19.5" customHeight="1">
      <c r="A639" s="2" t="s">
        <v>856</v>
      </c>
      <c r="B639" s="38">
        <v>45946</v>
      </c>
      <c r="C639" s="1">
        <v>1</v>
      </c>
      <c r="D639" s="1" t="s">
        <v>824</v>
      </c>
      <c r="E639" s="27" t="s">
        <v>62</v>
      </c>
      <c r="F639" s="8" t="s">
        <v>63</v>
      </c>
      <c r="G639" s="6">
        <v>800000</v>
      </c>
      <c r="H639" s="6"/>
      <c r="I639" s="6"/>
      <c r="J639" s="7"/>
      <c r="K639" s="73"/>
      <c r="L639" s="73"/>
      <c r="M639" s="73"/>
      <c r="N639" s="73"/>
      <c r="O639" s="3" t="str">
        <f>IF(C639="","",IF(C639=5,IFERROR(INDEX(code_Note1!$F$13:$F$16,MATCH(E639,code_Note1!$E$13:$E$16,0)),INDEX(code_Note1!$F$16,1)),IF(B639&lt;code_Note1!$D$21,"No",IFERROR(VLOOKUP(C639,code_Note1!$D$3:$G$8,3,FALSE),""))))</f>
        <v>Yes</v>
      </c>
      <c r="P639" s="3" t="s">
        <v>832</v>
      </c>
    </row>
    <row r="640" spans="1:16" ht="19.5" customHeight="1">
      <c r="A640" s="2" t="s">
        <v>856</v>
      </c>
      <c r="B640" s="38">
        <v>45946</v>
      </c>
      <c r="C640" s="1">
        <v>1</v>
      </c>
      <c r="D640" s="1" t="s">
        <v>824</v>
      </c>
      <c r="E640" s="27" t="s">
        <v>62</v>
      </c>
      <c r="F640" s="8" t="s">
        <v>63</v>
      </c>
      <c r="G640" s="6">
        <v>1100000</v>
      </c>
      <c r="H640" s="6"/>
      <c r="I640" s="6"/>
      <c r="J640" s="7"/>
      <c r="K640" s="73"/>
      <c r="L640" s="73"/>
      <c r="M640" s="73"/>
      <c r="N640" s="73"/>
      <c r="O640" s="3" t="str">
        <f>IF(C640="","",IF(C640=5,IFERROR(INDEX(code_Note1!$F$13:$F$16,MATCH(E640,code_Note1!$E$13:$E$16,0)),INDEX(code_Note1!$F$16,1)),IF(B640&lt;code_Note1!$D$21,"No",IFERROR(VLOOKUP(C640,code_Note1!$D$3:$G$8,3,FALSE),""))))</f>
        <v>Yes</v>
      </c>
      <c r="P640" s="3" t="s">
        <v>832</v>
      </c>
    </row>
    <row r="641" spans="1:16" ht="19.5" customHeight="1">
      <c r="A641" s="2" t="s">
        <v>854</v>
      </c>
      <c r="B641" s="38">
        <v>45946</v>
      </c>
      <c r="C641" s="1">
        <v>2</v>
      </c>
      <c r="D641" s="1" t="s">
        <v>838</v>
      </c>
      <c r="E641" s="1" t="s">
        <v>111</v>
      </c>
      <c r="F641" s="8" t="s">
        <v>526</v>
      </c>
      <c r="G641" s="6">
        <v>350000</v>
      </c>
      <c r="H641" s="6"/>
      <c r="I641" s="6"/>
      <c r="J641" s="7"/>
      <c r="K641" s="73"/>
      <c r="L641" s="73"/>
      <c r="M641" s="73"/>
      <c r="N641" s="73"/>
      <c r="O641" s="3" t="str">
        <f>IF(C641="","",IF(C641=5,IFERROR(INDEX(code_Note1!$F$13:$F$16,MATCH(E641,code_Note1!$E$13:$E$16,0)),INDEX(code_Note1!$F$16,1)),IF(B641&lt;code_Note1!$D$21,"No",IFERROR(VLOOKUP(C641,code_Note1!$D$3:$G$8,3,FALSE),""))))</f>
        <v>No</v>
      </c>
      <c r="P641" s="3" t="s">
        <v>831</v>
      </c>
    </row>
    <row r="642" spans="1:16" ht="19.5" customHeight="1">
      <c r="A642" s="2" t="s">
        <v>854</v>
      </c>
      <c r="B642" s="38">
        <v>45947</v>
      </c>
      <c r="C642" s="1">
        <v>2</v>
      </c>
      <c r="D642" s="1" t="s">
        <v>838</v>
      </c>
      <c r="E642" s="1" t="s">
        <v>34</v>
      </c>
      <c r="F642" s="8" t="s">
        <v>527</v>
      </c>
      <c r="G642" s="6">
        <v>1100000</v>
      </c>
      <c r="H642" s="6"/>
      <c r="I642" s="6"/>
      <c r="J642" s="7"/>
      <c r="K642" s="73"/>
      <c r="L642" s="73"/>
      <c r="M642" s="73"/>
      <c r="N642" s="73"/>
      <c r="O642" s="3" t="str">
        <f>IF(C642="","",IF(C642=5,IFERROR(INDEX(code_Note1!$F$13:$F$16,MATCH(E642,code_Note1!$E$13:$E$16,0)),INDEX(code_Note1!$F$16,1)),IF(B642&lt;code_Note1!$D$21,"No",IFERROR(VLOOKUP(C642,code_Note1!$D$3:$G$8,3,FALSE),""))))</f>
        <v>No</v>
      </c>
      <c r="P642" s="3" t="s">
        <v>831</v>
      </c>
    </row>
    <row r="643" spans="1:16" ht="19.5" customHeight="1">
      <c r="A643" s="2" t="s">
        <v>854</v>
      </c>
      <c r="B643" s="38">
        <v>45947</v>
      </c>
      <c r="C643" s="1">
        <v>2</v>
      </c>
      <c r="D643" s="1" t="s">
        <v>838</v>
      </c>
      <c r="E643" s="1" t="s">
        <v>34</v>
      </c>
      <c r="F643" s="8" t="s">
        <v>528</v>
      </c>
      <c r="G643" s="6">
        <v>1250000</v>
      </c>
      <c r="H643" s="6"/>
      <c r="I643" s="6"/>
      <c r="J643" s="7"/>
      <c r="K643" s="73"/>
      <c r="L643" s="73"/>
      <c r="M643" s="73"/>
      <c r="N643" s="73"/>
      <c r="O643" s="3" t="str">
        <f>IF(C643="","",IF(C643=5,IFERROR(INDEX(code_Note1!$F$13:$F$16,MATCH(E643,code_Note1!$E$13:$E$16,0)),INDEX(code_Note1!$F$16,1)),IF(B643&lt;code_Note1!$D$21,"No",IFERROR(VLOOKUP(C643,code_Note1!$D$3:$G$8,3,FALSE),""))))</f>
        <v>No</v>
      </c>
      <c r="P643" s="3" t="s">
        <v>831</v>
      </c>
    </row>
    <row r="644" spans="1:16" ht="19.5" customHeight="1">
      <c r="A644" s="2" t="s">
        <v>854</v>
      </c>
      <c r="B644" s="38">
        <v>45948</v>
      </c>
      <c r="C644" s="1">
        <v>2</v>
      </c>
      <c r="D644" s="1" t="s">
        <v>838</v>
      </c>
      <c r="E644" s="1" t="s">
        <v>34</v>
      </c>
      <c r="F644" s="8" t="s">
        <v>34</v>
      </c>
      <c r="G644" s="6">
        <v>3660000</v>
      </c>
      <c r="H644" s="6"/>
      <c r="I644" s="6"/>
      <c r="J644" s="7"/>
      <c r="K644" s="73"/>
      <c r="L644" s="73"/>
      <c r="M644" s="73"/>
      <c r="N644" s="73"/>
      <c r="O644" s="3" t="str">
        <f>IF(C644="","",IF(C644=5,IFERROR(INDEX(code_Note1!$F$13:$F$16,MATCH(E644,code_Note1!$E$13:$E$16,0)),INDEX(code_Note1!$F$16,1)),IF(B644&lt;code_Note1!$D$21,"No",IFERROR(VLOOKUP(C644,code_Note1!$D$3:$G$8,3,FALSE),""))))</f>
        <v>No</v>
      </c>
      <c r="P644" s="3" t="s">
        <v>831</v>
      </c>
    </row>
    <row r="645" spans="1:16" ht="19.5" customHeight="1">
      <c r="A645" s="2" t="s">
        <v>856</v>
      </c>
      <c r="B645" s="38">
        <v>45949</v>
      </c>
      <c r="C645" s="1">
        <v>1</v>
      </c>
      <c r="D645" s="1" t="s">
        <v>824</v>
      </c>
      <c r="E645" s="27" t="s">
        <v>62</v>
      </c>
      <c r="F645" s="8" t="s">
        <v>63</v>
      </c>
      <c r="G645" s="6">
        <v>5900000</v>
      </c>
      <c r="H645" s="6"/>
      <c r="I645" s="6"/>
      <c r="J645" s="7"/>
      <c r="K645" s="73"/>
      <c r="L645" s="73"/>
      <c r="M645" s="73"/>
      <c r="N645" s="73"/>
      <c r="O645" s="3" t="str">
        <f>IF(C645="","",IF(C645=5,IFERROR(INDEX(code_Note1!$F$13:$F$16,MATCH(E645,code_Note1!$E$13:$E$16,0)),INDEX(code_Note1!$F$16,1)),IF(B645&lt;code_Note1!$D$21,"No",IFERROR(VLOOKUP(C645,code_Note1!$D$3:$G$8,3,FALSE),""))))</f>
        <v>Yes</v>
      </c>
      <c r="P645" s="3" t="s">
        <v>832</v>
      </c>
    </row>
    <row r="646" spans="1:16" ht="19.5" customHeight="1">
      <c r="A646" s="2" t="s">
        <v>856</v>
      </c>
      <c r="B646" s="38">
        <v>45949</v>
      </c>
      <c r="C646" s="1">
        <v>1</v>
      </c>
      <c r="D646" s="1" t="s">
        <v>824</v>
      </c>
      <c r="E646" s="27" t="s">
        <v>62</v>
      </c>
      <c r="F646" s="8" t="s">
        <v>63</v>
      </c>
      <c r="G646" s="6">
        <v>300000</v>
      </c>
      <c r="H646" s="6"/>
      <c r="I646" s="6"/>
      <c r="J646" s="7"/>
      <c r="K646" s="73"/>
      <c r="L646" s="73"/>
      <c r="M646" s="73"/>
      <c r="N646" s="73"/>
      <c r="O646" s="3" t="str">
        <f>IF(C646="","",IF(C646=5,IFERROR(INDEX(code_Note1!$F$13:$F$16,MATCH(E646,code_Note1!$E$13:$E$16,0)),INDEX(code_Note1!$F$16,1)),IF(B646&lt;code_Note1!$D$21,"No",IFERROR(VLOOKUP(C646,code_Note1!$D$3:$G$8,3,FALSE),""))))</f>
        <v>Yes</v>
      </c>
      <c r="P646" s="3" t="s">
        <v>832</v>
      </c>
    </row>
    <row r="647" spans="1:16" ht="19.5" customHeight="1">
      <c r="A647" s="2" t="s">
        <v>854</v>
      </c>
      <c r="B647" s="38">
        <v>45949</v>
      </c>
      <c r="C647" s="1">
        <v>2</v>
      </c>
      <c r="D647" s="1" t="s">
        <v>838</v>
      </c>
      <c r="E647" s="1" t="s">
        <v>21</v>
      </c>
      <c r="F647" s="8" t="s">
        <v>529</v>
      </c>
      <c r="G647" s="6">
        <v>0</v>
      </c>
      <c r="H647" s="6">
        <v>400</v>
      </c>
      <c r="I647" s="6"/>
      <c r="J647" s="7"/>
      <c r="K647" s="73"/>
      <c r="L647" s="73"/>
      <c r="M647" s="73"/>
      <c r="N647" s="73"/>
      <c r="O647" s="3" t="str">
        <f>IF(C647="","",IF(C647=5,IFERROR(INDEX(code_Note1!$F$13:$F$16,MATCH(E647,code_Note1!$E$13:$E$16,0)),INDEX(code_Note1!$F$16,1)),IF(B647&lt;code_Note1!$D$21,"No",IFERROR(VLOOKUP(C647,code_Note1!$D$3:$G$8,3,FALSE),""))))</f>
        <v>No</v>
      </c>
      <c r="P647" s="3" t="s">
        <v>831</v>
      </c>
    </row>
    <row r="648" spans="1:16" ht="19.5" customHeight="1">
      <c r="A648" s="2" t="s">
        <v>854</v>
      </c>
      <c r="B648" s="38">
        <v>45949</v>
      </c>
      <c r="C648" s="1">
        <v>2</v>
      </c>
      <c r="D648" s="1" t="s">
        <v>838</v>
      </c>
      <c r="E648" s="1" t="s">
        <v>21</v>
      </c>
      <c r="F648" s="8" t="s">
        <v>530</v>
      </c>
      <c r="G648" s="6">
        <v>0</v>
      </c>
      <c r="H648" s="6">
        <v>3241.25</v>
      </c>
      <c r="I648" s="6"/>
      <c r="J648" s="7"/>
      <c r="K648" s="73"/>
      <c r="L648" s="73"/>
      <c r="M648" s="73"/>
      <c r="N648" s="73"/>
      <c r="O648" s="3" t="str">
        <f>IF(C648="","",IF(C648=5,IFERROR(INDEX(code_Note1!$F$13:$F$16,MATCH(E648,code_Note1!$E$13:$E$16,0)),INDEX(code_Note1!$F$16,1)),IF(B648&lt;code_Note1!$D$21,"No",IFERROR(VLOOKUP(C648,code_Note1!$D$3:$G$8,3,FALSE),""))))</f>
        <v>No</v>
      </c>
      <c r="P648" s="3" t="s">
        <v>831</v>
      </c>
    </row>
    <row r="649" spans="1:16" ht="19.5" customHeight="1">
      <c r="A649" s="2" t="s">
        <v>856</v>
      </c>
      <c r="B649" s="38">
        <v>45949</v>
      </c>
      <c r="C649" s="1">
        <v>3</v>
      </c>
      <c r="D649" s="1" t="s">
        <v>823</v>
      </c>
      <c r="E649" s="1" t="s">
        <v>12</v>
      </c>
      <c r="F649" s="8" t="s">
        <v>389</v>
      </c>
      <c r="G649" s="6">
        <v>35000</v>
      </c>
      <c r="H649" s="6"/>
      <c r="I649" s="6"/>
      <c r="J649" s="7"/>
      <c r="K649" s="73"/>
      <c r="L649" s="73"/>
      <c r="M649" s="73"/>
      <c r="N649" s="73"/>
      <c r="O649" s="3" t="str">
        <f>IF(C649="","",IF(C649=5,IFERROR(INDEX(code_Note1!$F$13:$F$16,MATCH(E649,code_Note1!$E$13:$E$16,0)),INDEX(code_Note1!$F$16,1)),IF(B649&lt;code_Note1!$D$21,"No",IFERROR(VLOOKUP(C649,code_Note1!$D$3:$G$8,3,FALSE),""))))</f>
        <v>yes</v>
      </c>
      <c r="P649" s="3" t="s">
        <v>832</v>
      </c>
    </row>
    <row r="650" spans="1:16" ht="19.5" customHeight="1">
      <c r="A650" s="2" t="s">
        <v>856</v>
      </c>
      <c r="B650" s="38">
        <v>45949</v>
      </c>
      <c r="C650" s="1">
        <v>3</v>
      </c>
      <c r="D650" s="1" t="s">
        <v>823</v>
      </c>
      <c r="E650" s="1" t="s">
        <v>147</v>
      </c>
      <c r="F650" s="8" t="s">
        <v>531</v>
      </c>
      <c r="G650" s="6">
        <v>1260000</v>
      </c>
      <c r="H650" s="6"/>
      <c r="I650" s="6"/>
      <c r="J650" s="7"/>
      <c r="K650" s="73"/>
      <c r="L650" s="73"/>
      <c r="M650" s="73"/>
      <c r="N650" s="73"/>
      <c r="O650" s="3" t="str">
        <f>IF(C650="","",IF(C650=5,IFERROR(INDEX(code_Note1!$F$13:$F$16,MATCH(E650,code_Note1!$E$13:$E$16,0)),INDEX(code_Note1!$F$16,1)),IF(B650&lt;code_Note1!$D$21,"No",IFERROR(VLOOKUP(C650,code_Note1!$D$3:$G$8,3,FALSE),""))))</f>
        <v>yes</v>
      </c>
      <c r="P650" s="3" t="s">
        <v>832</v>
      </c>
    </row>
    <row r="651" spans="1:16" ht="19.5" customHeight="1">
      <c r="A651" s="2" t="s">
        <v>856</v>
      </c>
      <c r="B651" s="38">
        <v>45950</v>
      </c>
      <c r="C651" s="1">
        <v>1</v>
      </c>
      <c r="D651" s="1" t="s">
        <v>824</v>
      </c>
      <c r="E651" s="1" t="s">
        <v>293</v>
      </c>
      <c r="F651" s="8" t="s">
        <v>436</v>
      </c>
      <c r="G651" s="6">
        <v>2400000</v>
      </c>
      <c r="H651" s="6"/>
      <c r="I651" s="6"/>
      <c r="J651" s="7"/>
      <c r="K651" s="73"/>
      <c r="L651" s="73"/>
      <c r="M651" s="73"/>
      <c r="N651" s="73"/>
      <c r="O651" s="3" t="str">
        <f>IF(C651="","",IF(C651=5,IFERROR(INDEX(code_Note1!$F$13:$F$16,MATCH(E651,code_Note1!$E$13:$E$16,0)),INDEX(code_Note1!$F$16,1)),IF(B651&lt;code_Note1!$D$21,"No",IFERROR(VLOOKUP(C651,code_Note1!$D$3:$G$8,3,FALSE),""))))</f>
        <v>Yes</v>
      </c>
      <c r="P651" s="3" t="s">
        <v>832</v>
      </c>
    </row>
    <row r="652" spans="1:16" ht="19.5" customHeight="1">
      <c r="A652" s="2" t="s">
        <v>856</v>
      </c>
      <c r="B652" s="38">
        <v>45950</v>
      </c>
      <c r="C652" s="1">
        <v>1</v>
      </c>
      <c r="D652" s="1" t="s">
        <v>824</v>
      </c>
      <c r="E652" s="1" t="s">
        <v>103</v>
      </c>
      <c r="F652" s="8" t="s">
        <v>102</v>
      </c>
      <c r="G652" s="6">
        <v>400000</v>
      </c>
      <c r="H652" s="6"/>
      <c r="I652" s="6"/>
      <c r="J652" s="7"/>
      <c r="K652" s="73"/>
      <c r="L652" s="73"/>
      <c r="M652" s="73"/>
      <c r="N652" s="73"/>
      <c r="O652" s="3" t="str">
        <f>IF(C652="","",IF(C652=5,IFERROR(INDEX(code_Note1!$F$13:$F$16,MATCH(E652,code_Note1!$E$13:$E$16,0)),INDEX(code_Note1!$F$16,1)),IF(B652&lt;code_Note1!$D$21,"No",IFERROR(VLOOKUP(C652,code_Note1!$D$3:$G$8,3,FALSE),""))))</f>
        <v>Yes</v>
      </c>
      <c r="P652" s="3" t="s">
        <v>832</v>
      </c>
    </row>
    <row r="653" spans="1:16" ht="19.5" customHeight="1">
      <c r="A653" s="2" t="s">
        <v>856</v>
      </c>
      <c r="B653" s="38">
        <v>45950</v>
      </c>
      <c r="C653" s="1">
        <v>1</v>
      </c>
      <c r="D653" s="1" t="s">
        <v>824</v>
      </c>
      <c r="E653" s="1" t="s">
        <v>291</v>
      </c>
      <c r="F653" s="8" t="s">
        <v>404</v>
      </c>
      <c r="G653" s="6">
        <v>360000</v>
      </c>
      <c r="H653" s="6"/>
      <c r="I653" s="6"/>
      <c r="J653" s="7"/>
      <c r="K653" s="73"/>
      <c r="L653" s="73"/>
      <c r="M653" s="73"/>
      <c r="N653" s="73"/>
      <c r="O653" s="3" t="str">
        <f>IF(C653="","",IF(C653=5,IFERROR(INDEX(code_Note1!$F$13:$F$16,MATCH(E653,code_Note1!$E$13:$E$16,0)),INDEX(code_Note1!$F$16,1)),IF(B653&lt;code_Note1!$D$21,"No",IFERROR(VLOOKUP(C653,code_Note1!$D$3:$G$8,3,FALSE),""))))</f>
        <v>Yes</v>
      </c>
      <c r="P653" s="3" t="s">
        <v>832</v>
      </c>
    </row>
    <row r="654" spans="1:16" ht="19.5" customHeight="1">
      <c r="A654" s="2" t="s">
        <v>854</v>
      </c>
      <c r="B654" s="38">
        <v>45951</v>
      </c>
      <c r="C654" s="1">
        <v>2</v>
      </c>
      <c r="D654" s="1" t="s">
        <v>838</v>
      </c>
      <c r="E654" s="1" t="s">
        <v>21</v>
      </c>
      <c r="F654" s="8" t="s">
        <v>532</v>
      </c>
      <c r="G654" s="6">
        <v>660000</v>
      </c>
      <c r="H654" s="6"/>
      <c r="I654" s="6"/>
      <c r="J654" s="7"/>
      <c r="K654" s="73"/>
      <c r="L654" s="73"/>
      <c r="M654" s="73"/>
      <c r="N654" s="73"/>
      <c r="O654" s="3" t="str">
        <f>IF(C654="","",IF(C654=5,IFERROR(INDEX(code_Note1!$F$13:$F$16,MATCH(E654,code_Note1!$E$13:$E$16,0)),INDEX(code_Note1!$F$16,1)),IF(B654&lt;code_Note1!$D$21,"No",IFERROR(VLOOKUP(C654,code_Note1!$D$3:$G$8,3,FALSE),""))))</f>
        <v>No</v>
      </c>
      <c r="P654" s="3" t="s">
        <v>831</v>
      </c>
    </row>
    <row r="655" spans="1:16" ht="19.5" customHeight="1">
      <c r="A655" s="2" t="s">
        <v>856</v>
      </c>
      <c r="B655" s="38">
        <v>45951</v>
      </c>
      <c r="C655" s="1">
        <v>3</v>
      </c>
      <c r="D655" s="1" t="s">
        <v>823</v>
      </c>
      <c r="E655" s="1" t="s">
        <v>44</v>
      </c>
      <c r="F655" s="8" t="s">
        <v>533</v>
      </c>
      <c r="G655" s="6">
        <v>198000</v>
      </c>
      <c r="H655" s="6"/>
      <c r="I655" s="6"/>
      <c r="J655" s="7"/>
      <c r="K655" s="73"/>
      <c r="L655" s="73"/>
      <c r="M655" s="73"/>
      <c r="N655" s="73"/>
      <c r="O655" s="3" t="str">
        <f>IF(C655="","",IF(C655=5,IFERROR(INDEX(code_Note1!$F$13:$F$16,MATCH(E655,code_Note1!$E$13:$E$16,0)),INDEX(code_Note1!$F$16,1)),IF(B655&lt;code_Note1!$D$21,"No",IFERROR(VLOOKUP(C655,code_Note1!$D$3:$G$8,3,FALSE),""))))</f>
        <v>yes</v>
      </c>
      <c r="P655" s="3" t="s">
        <v>832</v>
      </c>
    </row>
    <row r="656" spans="1:16" ht="19.5" customHeight="1">
      <c r="A656" s="2" t="s">
        <v>854</v>
      </c>
      <c r="B656" s="38">
        <v>45952</v>
      </c>
      <c r="C656" s="1">
        <v>2</v>
      </c>
      <c r="D656" s="1" t="s">
        <v>838</v>
      </c>
      <c r="E656" s="1" t="s">
        <v>46</v>
      </c>
      <c r="F656" s="8" t="s">
        <v>534</v>
      </c>
      <c r="G656" s="6">
        <v>5700000</v>
      </c>
      <c r="H656" s="6"/>
      <c r="I656" s="6"/>
      <c r="J656" s="7"/>
      <c r="K656" s="73"/>
      <c r="L656" s="73"/>
      <c r="M656" s="73"/>
      <c r="N656" s="73"/>
      <c r="O656" s="3" t="str">
        <f>IF(C656="","",IF(C656=5,IFERROR(INDEX(code_Note1!$F$13:$F$16,MATCH(E656,code_Note1!$E$13:$E$16,0)),INDEX(code_Note1!$F$16,1)),IF(B656&lt;code_Note1!$D$21,"No",IFERROR(VLOOKUP(C656,code_Note1!$D$3:$G$8,3,FALSE),""))))</f>
        <v>No</v>
      </c>
      <c r="P656" s="3" t="s">
        <v>831</v>
      </c>
    </row>
    <row r="657" spans="1:16" ht="19.5" customHeight="1">
      <c r="A657" s="2" t="s">
        <v>854</v>
      </c>
      <c r="B657" s="38">
        <v>45952</v>
      </c>
      <c r="C657" s="1">
        <v>2</v>
      </c>
      <c r="D657" s="1" t="s">
        <v>838</v>
      </c>
      <c r="E657" s="1" t="s">
        <v>46</v>
      </c>
      <c r="F657" s="8" t="s">
        <v>535</v>
      </c>
      <c r="G657" s="6">
        <v>3000000</v>
      </c>
      <c r="H657" s="6"/>
      <c r="I657" s="6"/>
      <c r="J657" s="7"/>
      <c r="K657" s="73"/>
      <c r="L657" s="73"/>
      <c r="M657" s="73"/>
      <c r="N657" s="73"/>
      <c r="O657" s="3" t="str">
        <f>IF(C657="","",IF(C657=5,IFERROR(INDEX(code_Note1!$F$13:$F$16,MATCH(E657,code_Note1!$E$13:$E$16,0)),INDEX(code_Note1!$F$16,1)),IF(B657&lt;code_Note1!$D$21,"No",IFERROR(VLOOKUP(C657,code_Note1!$D$3:$G$8,3,FALSE),""))))</f>
        <v>No</v>
      </c>
      <c r="P657" s="3" t="s">
        <v>831</v>
      </c>
    </row>
    <row r="658" spans="1:16" ht="19.5" customHeight="1">
      <c r="A658" s="2" t="s">
        <v>856</v>
      </c>
      <c r="B658" s="38">
        <v>45953</v>
      </c>
      <c r="C658" s="1">
        <v>1</v>
      </c>
      <c r="D658" s="1" t="s">
        <v>824</v>
      </c>
      <c r="E658" s="1" t="s">
        <v>291</v>
      </c>
      <c r="F658" s="8" t="s">
        <v>404</v>
      </c>
      <c r="G658" s="6">
        <v>315000</v>
      </c>
      <c r="H658" s="6"/>
      <c r="I658" s="6"/>
      <c r="J658" s="7"/>
      <c r="K658" s="73"/>
      <c r="L658" s="73"/>
      <c r="M658" s="73"/>
      <c r="N658" s="73"/>
      <c r="O658" s="3" t="str">
        <f>IF(C658="","",IF(C658=5,IFERROR(INDEX(code_Note1!$F$13:$F$16,MATCH(E658,code_Note1!$E$13:$E$16,0)),INDEX(code_Note1!$F$16,1)),IF(B658&lt;code_Note1!$D$21,"No",IFERROR(VLOOKUP(C658,code_Note1!$D$3:$G$8,3,FALSE),""))))</f>
        <v>Yes</v>
      </c>
      <c r="P658" s="3" t="s">
        <v>832</v>
      </c>
    </row>
    <row r="659" spans="1:16" ht="19.5" customHeight="1">
      <c r="A659" s="2" t="s">
        <v>856</v>
      </c>
      <c r="B659" s="38">
        <v>45953</v>
      </c>
      <c r="C659" s="1">
        <v>1</v>
      </c>
      <c r="D659" s="1" t="s">
        <v>824</v>
      </c>
      <c r="E659" s="1" t="s">
        <v>293</v>
      </c>
      <c r="F659" s="8" t="s">
        <v>436</v>
      </c>
      <c r="G659" s="6">
        <v>2100000</v>
      </c>
      <c r="H659" s="6"/>
      <c r="I659" s="6"/>
      <c r="J659" s="7"/>
      <c r="K659" s="73"/>
      <c r="L659" s="73"/>
      <c r="M659" s="73"/>
      <c r="N659" s="73"/>
      <c r="O659" s="3" t="str">
        <f>IF(C659="","",IF(C659=5,IFERROR(INDEX(code_Note1!$F$13:$F$16,MATCH(E659,code_Note1!$E$13:$E$16,0)),INDEX(code_Note1!$F$16,1)),IF(B659&lt;code_Note1!$D$21,"No",IFERROR(VLOOKUP(C659,code_Note1!$D$3:$G$8,3,FALSE),""))))</f>
        <v>Yes</v>
      </c>
      <c r="P659" s="3" t="s">
        <v>832</v>
      </c>
    </row>
    <row r="660" spans="1:16" ht="19.5" customHeight="1">
      <c r="A660" s="2" t="s">
        <v>856</v>
      </c>
      <c r="B660" s="38">
        <v>45953</v>
      </c>
      <c r="C660" s="1">
        <v>1</v>
      </c>
      <c r="D660" s="1" t="s">
        <v>824</v>
      </c>
      <c r="E660" s="1" t="s">
        <v>103</v>
      </c>
      <c r="F660" s="8" t="s">
        <v>536</v>
      </c>
      <c r="G660" s="6">
        <v>900000</v>
      </c>
      <c r="H660" s="6"/>
      <c r="I660" s="6"/>
      <c r="J660" s="7"/>
      <c r="K660" s="73"/>
      <c r="L660" s="73"/>
      <c r="M660" s="73"/>
      <c r="N660" s="73"/>
      <c r="O660" s="3" t="str">
        <f>IF(C660="","",IF(C660=5,IFERROR(INDEX(code_Note1!$F$13:$F$16,MATCH(E660,code_Note1!$E$13:$E$16,0)),INDEX(code_Note1!$F$16,1)),IF(B660&lt;code_Note1!$D$21,"No",IFERROR(VLOOKUP(C660,code_Note1!$D$3:$G$8,3,FALSE),""))))</f>
        <v>Yes</v>
      </c>
      <c r="P660" s="3" t="s">
        <v>832</v>
      </c>
    </row>
    <row r="661" spans="1:16" ht="19.5" customHeight="1">
      <c r="A661" s="2" t="s">
        <v>854</v>
      </c>
      <c r="B661" s="38">
        <v>45955</v>
      </c>
      <c r="C661" s="1">
        <v>2</v>
      </c>
      <c r="D661" s="1" t="s">
        <v>838</v>
      </c>
      <c r="E661" s="1" t="s">
        <v>21</v>
      </c>
      <c r="F661" s="8" t="s">
        <v>537</v>
      </c>
      <c r="G661" s="6">
        <v>2509000</v>
      </c>
      <c r="H661" s="6"/>
      <c r="I661" s="6"/>
      <c r="J661" s="7"/>
      <c r="K661" s="73"/>
      <c r="L661" s="73"/>
      <c r="M661" s="73"/>
      <c r="N661" s="73"/>
      <c r="O661" s="3" t="str">
        <f>IF(C661="","",IF(C661=5,IFERROR(INDEX(code_Note1!$F$13:$F$16,MATCH(E661,code_Note1!$E$13:$E$16,0)),INDEX(code_Note1!$F$16,1)),IF(B661&lt;code_Note1!$D$21,"No",IFERROR(VLOOKUP(C661,code_Note1!$D$3:$G$8,3,FALSE),""))))</f>
        <v>No</v>
      </c>
      <c r="P661" s="3" t="s">
        <v>831</v>
      </c>
    </row>
    <row r="662" spans="1:16" ht="19.5" customHeight="1">
      <c r="A662" s="2" t="s">
        <v>856</v>
      </c>
      <c r="B662" s="38">
        <v>45956</v>
      </c>
      <c r="C662" s="1">
        <v>1</v>
      </c>
      <c r="D662" s="1" t="s">
        <v>824</v>
      </c>
      <c r="E662" s="27" t="s">
        <v>62</v>
      </c>
      <c r="F662" s="8" t="s">
        <v>538</v>
      </c>
      <c r="G662" s="6">
        <v>5893000</v>
      </c>
      <c r="H662" s="6"/>
      <c r="I662" s="6"/>
      <c r="J662" s="7"/>
      <c r="K662" s="73"/>
      <c r="L662" s="73"/>
      <c r="M662" s="73"/>
      <c r="N662" s="73"/>
      <c r="O662" s="3" t="str">
        <f>IF(C662="","",IF(C662=5,IFERROR(INDEX(code_Note1!$F$13:$F$16,MATCH(E662,code_Note1!$E$13:$E$16,0)),INDEX(code_Note1!$F$16,1)),IF(B662&lt;code_Note1!$D$21,"No",IFERROR(VLOOKUP(C662,code_Note1!$D$3:$G$8,3,FALSE),""))))</f>
        <v>Yes</v>
      </c>
      <c r="P662" s="3" t="s">
        <v>832</v>
      </c>
    </row>
    <row r="663" spans="1:16" ht="19.5" customHeight="1">
      <c r="A663" s="2" t="s">
        <v>856</v>
      </c>
      <c r="B663" s="38">
        <v>45956</v>
      </c>
      <c r="C663" s="1">
        <v>3</v>
      </c>
      <c r="D663" s="1" t="s">
        <v>823</v>
      </c>
      <c r="E663" s="1" t="s">
        <v>12</v>
      </c>
      <c r="F663" s="8" t="s">
        <v>121</v>
      </c>
      <c r="G663" s="6">
        <v>55000</v>
      </c>
      <c r="H663" s="6"/>
      <c r="I663" s="6"/>
      <c r="J663" s="7"/>
      <c r="K663" s="73"/>
      <c r="L663" s="73"/>
      <c r="M663" s="73"/>
      <c r="N663" s="73"/>
      <c r="O663" s="3" t="str">
        <f>IF(C663="","",IF(C663=5,IFERROR(INDEX(code_Note1!$F$13:$F$16,MATCH(E663,code_Note1!$E$13:$E$16,0)),INDEX(code_Note1!$F$16,1)),IF(B663&lt;code_Note1!$D$21,"No",IFERROR(VLOOKUP(C663,code_Note1!$D$3:$G$8,3,FALSE),""))))</f>
        <v>yes</v>
      </c>
      <c r="P663" s="3" t="s">
        <v>832</v>
      </c>
    </row>
    <row r="664" spans="1:16" ht="19.5" customHeight="1">
      <c r="A664" s="2" t="s">
        <v>854</v>
      </c>
      <c r="B664" s="38">
        <v>45956</v>
      </c>
      <c r="C664" s="1">
        <v>2</v>
      </c>
      <c r="D664" s="1" t="s">
        <v>838</v>
      </c>
      <c r="E664" s="1" t="s">
        <v>80</v>
      </c>
      <c r="F664" s="8" t="s">
        <v>539</v>
      </c>
      <c r="G664" s="6">
        <v>3500000</v>
      </c>
      <c r="H664" s="6"/>
      <c r="I664" s="6"/>
      <c r="J664" s="7"/>
      <c r="K664" s="73"/>
      <c r="L664" s="73"/>
      <c r="M664" s="73"/>
      <c r="N664" s="73"/>
      <c r="O664" s="3" t="str">
        <f>IF(C664="","",IF(C664=5,IFERROR(INDEX(code_Note1!$F$13:$F$16,MATCH(E664,code_Note1!$E$13:$E$16,0)),INDEX(code_Note1!$F$16,1)),IF(B664&lt;code_Note1!$D$21,"No",IFERROR(VLOOKUP(C664,code_Note1!$D$3:$G$8,3,FALSE),""))))</f>
        <v>No</v>
      </c>
      <c r="P664" s="3" t="s">
        <v>831</v>
      </c>
    </row>
    <row r="665" spans="1:16" ht="19.5" customHeight="1">
      <c r="A665" s="2" t="s">
        <v>854</v>
      </c>
      <c r="B665" s="38">
        <v>45956</v>
      </c>
      <c r="C665" s="1">
        <v>2</v>
      </c>
      <c r="D665" s="1" t="s">
        <v>838</v>
      </c>
      <c r="E665" s="1" t="s">
        <v>51</v>
      </c>
      <c r="F665" s="8" t="s">
        <v>302</v>
      </c>
      <c r="G665" s="6">
        <v>2510000</v>
      </c>
      <c r="H665" s="6"/>
      <c r="I665" s="6"/>
      <c r="J665" s="7"/>
      <c r="K665" s="73"/>
      <c r="L665" s="73"/>
      <c r="M665" s="73"/>
      <c r="N665" s="73"/>
      <c r="O665" s="3" t="str">
        <f>IF(C665="","",IF(C665=5,IFERROR(INDEX(code_Note1!$F$13:$F$16,MATCH(E665,code_Note1!$E$13:$E$16,0)),INDEX(code_Note1!$F$16,1)),IF(B665&lt;code_Note1!$D$21,"No",IFERROR(VLOOKUP(C665,code_Note1!$D$3:$G$8,3,FALSE),""))))</f>
        <v>No</v>
      </c>
      <c r="P665" s="3" t="s">
        <v>831</v>
      </c>
    </row>
    <row r="666" spans="1:16" ht="19.5" customHeight="1">
      <c r="A666" s="2" t="s">
        <v>854</v>
      </c>
      <c r="B666" s="38">
        <v>45959</v>
      </c>
      <c r="C666" s="1">
        <v>2</v>
      </c>
      <c r="D666" s="1" t="s">
        <v>838</v>
      </c>
      <c r="E666" s="1" t="s">
        <v>46</v>
      </c>
      <c r="F666" s="8" t="s">
        <v>130</v>
      </c>
      <c r="G666" s="6">
        <v>600000</v>
      </c>
      <c r="H666" s="6"/>
      <c r="I666" s="6"/>
      <c r="J666" s="7"/>
      <c r="K666" s="73"/>
      <c r="L666" s="73"/>
      <c r="M666" s="73"/>
      <c r="N666" s="73"/>
      <c r="O666" s="3" t="str">
        <f>IF(C666="","",IF(C666=5,IFERROR(INDEX(code_Note1!$F$13:$F$16,MATCH(E666,code_Note1!$E$13:$E$16,0)),INDEX(code_Note1!$F$16,1)),IF(B666&lt;code_Note1!$D$21,"No",IFERROR(VLOOKUP(C666,code_Note1!$D$3:$G$8,3,FALSE),""))))</f>
        <v>No</v>
      </c>
      <c r="P666" s="3" t="s">
        <v>831</v>
      </c>
    </row>
    <row r="667" spans="1:16" ht="19.5" customHeight="1">
      <c r="A667" s="2" t="s">
        <v>854</v>
      </c>
      <c r="B667" s="38">
        <v>45959</v>
      </c>
      <c r="C667" s="1">
        <v>2</v>
      </c>
      <c r="D667" s="1" t="s">
        <v>838</v>
      </c>
      <c r="E667" s="1" t="s">
        <v>46</v>
      </c>
      <c r="F667" s="8" t="s">
        <v>130</v>
      </c>
      <c r="G667" s="6">
        <v>3200000</v>
      </c>
      <c r="H667" s="6"/>
      <c r="I667" s="6"/>
      <c r="J667" s="7"/>
      <c r="K667" s="73"/>
      <c r="L667" s="73"/>
      <c r="M667" s="73"/>
      <c r="N667" s="73"/>
      <c r="O667" s="3" t="str">
        <f>IF(C667="","",IF(C667=5,IFERROR(INDEX(code_Note1!$F$13:$F$16,MATCH(E667,code_Note1!$E$13:$E$16,0)),INDEX(code_Note1!$F$16,1)),IF(B667&lt;code_Note1!$D$21,"No",IFERROR(VLOOKUP(C667,code_Note1!$D$3:$G$8,3,FALSE),""))))</f>
        <v>No</v>
      </c>
      <c r="P667" s="3" t="s">
        <v>831</v>
      </c>
    </row>
    <row r="668" spans="1:16" ht="19.5" customHeight="1">
      <c r="A668" s="2" t="s">
        <v>854</v>
      </c>
      <c r="B668" s="38">
        <v>45959</v>
      </c>
      <c r="C668" s="1">
        <v>2</v>
      </c>
      <c r="D668" s="1" t="s">
        <v>838</v>
      </c>
      <c r="E668" s="1" t="s">
        <v>82</v>
      </c>
      <c r="F668" s="8" t="s">
        <v>82</v>
      </c>
      <c r="G668" s="6">
        <v>4310000</v>
      </c>
      <c r="H668" s="6"/>
      <c r="I668" s="6"/>
      <c r="J668" s="7"/>
      <c r="K668" s="73"/>
      <c r="L668" s="73"/>
      <c r="M668" s="73"/>
      <c r="N668" s="73"/>
      <c r="O668" s="3" t="str">
        <f>IF(C668="","",IF(C668=5,IFERROR(INDEX(code_Note1!$F$13:$F$16,MATCH(E668,code_Note1!$E$13:$E$16,0)),INDEX(code_Note1!$F$16,1)),IF(B668&lt;code_Note1!$D$21,"No",IFERROR(VLOOKUP(C668,code_Note1!$D$3:$G$8,3,FALSE),""))))</f>
        <v>No</v>
      </c>
      <c r="P668" s="3" t="s">
        <v>831</v>
      </c>
    </row>
    <row r="669" spans="1:16" ht="19.5" customHeight="1">
      <c r="A669" s="2" t="s">
        <v>854</v>
      </c>
      <c r="B669" s="38">
        <v>45959</v>
      </c>
      <c r="C669" s="1">
        <v>2</v>
      </c>
      <c r="D669" s="1" t="s">
        <v>838</v>
      </c>
      <c r="E669" s="1" t="s">
        <v>42</v>
      </c>
      <c r="F669" s="8" t="s">
        <v>42</v>
      </c>
      <c r="G669" s="6">
        <v>310000</v>
      </c>
      <c r="H669" s="6"/>
      <c r="I669" s="6"/>
      <c r="J669" s="7"/>
      <c r="K669" s="73"/>
      <c r="L669" s="73"/>
      <c r="M669" s="73"/>
      <c r="N669" s="73"/>
      <c r="O669" s="3" t="str">
        <f>IF(C669="","",IF(C669=5,IFERROR(INDEX(code_Note1!$F$13:$F$16,MATCH(E669,code_Note1!$E$13:$E$16,0)),INDEX(code_Note1!$F$16,1)),IF(B669&lt;code_Note1!$D$21,"No",IFERROR(VLOOKUP(C669,code_Note1!$D$3:$G$8,3,FALSE),""))))</f>
        <v>No</v>
      </c>
      <c r="P669" s="3" t="s">
        <v>831</v>
      </c>
    </row>
    <row r="670" spans="1:16" ht="19.5" customHeight="1">
      <c r="A670" s="2" t="s">
        <v>854</v>
      </c>
      <c r="B670" s="38">
        <v>45959</v>
      </c>
      <c r="C670" s="1">
        <v>2</v>
      </c>
      <c r="D670" s="1" t="s">
        <v>838</v>
      </c>
      <c r="E670" s="1" t="s">
        <v>166</v>
      </c>
      <c r="F670" s="8" t="s">
        <v>272</v>
      </c>
      <c r="G670" s="6">
        <v>2000000</v>
      </c>
      <c r="H670" s="6"/>
      <c r="I670" s="6"/>
      <c r="J670" s="7"/>
      <c r="K670" s="73"/>
      <c r="L670" s="73"/>
      <c r="M670" s="73"/>
      <c r="N670" s="73"/>
      <c r="O670" s="3" t="str">
        <f>IF(C670="","",IF(C670=5,IFERROR(INDEX(code_Note1!$F$13:$F$16,MATCH(E670,code_Note1!$E$13:$E$16,0)),INDEX(code_Note1!$F$16,1)),IF(B670&lt;code_Note1!$D$21,"No",IFERROR(VLOOKUP(C670,code_Note1!$D$3:$G$8,3,FALSE),""))))</f>
        <v>No</v>
      </c>
      <c r="P670" s="3" t="s">
        <v>831</v>
      </c>
    </row>
    <row r="671" spans="1:16" ht="19.5" customHeight="1">
      <c r="A671" s="2" t="s">
        <v>854</v>
      </c>
      <c r="B671" s="38">
        <v>45959</v>
      </c>
      <c r="C671" s="1">
        <v>2</v>
      </c>
      <c r="D671" s="1" t="s">
        <v>838</v>
      </c>
      <c r="E671" s="36" t="s">
        <v>80</v>
      </c>
      <c r="F671" s="8" t="s">
        <v>540</v>
      </c>
      <c r="G671" s="6">
        <v>11000000</v>
      </c>
      <c r="H671" s="6"/>
      <c r="I671" s="6"/>
      <c r="J671" s="7"/>
      <c r="K671" s="73"/>
      <c r="L671" s="73"/>
      <c r="M671" s="73"/>
      <c r="N671" s="73"/>
      <c r="O671" s="3" t="str">
        <f>IF(C671="","",IF(C671=5,IFERROR(INDEX(code_Note1!$F$13:$F$16,MATCH(E671,code_Note1!$E$13:$E$16,0)),INDEX(code_Note1!$F$16,1)),IF(B671&lt;code_Note1!$D$21,"No",IFERROR(VLOOKUP(C671,code_Note1!$D$3:$G$8,3,FALSE),""))))</f>
        <v>No</v>
      </c>
      <c r="P671" s="3" t="s">
        <v>831</v>
      </c>
    </row>
    <row r="672" spans="1:16" ht="19.5" customHeight="1">
      <c r="A672" s="2" t="s">
        <v>854</v>
      </c>
      <c r="B672" s="38">
        <v>45959</v>
      </c>
      <c r="C672" s="1">
        <v>2</v>
      </c>
      <c r="D672" s="1" t="s">
        <v>838</v>
      </c>
      <c r="E672" s="1" t="s">
        <v>46</v>
      </c>
      <c r="F672" s="8" t="s">
        <v>541</v>
      </c>
      <c r="G672" s="6">
        <v>5000000</v>
      </c>
      <c r="H672" s="6"/>
      <c r="I672" s="6"/>
      <c r="J672" s="7"/>
      <c r="K672" s="73"/>
      <c r="L672" s="73"/>
      <c r="M672" s="73"/>
      <c r="N672" s="73"/>
      <c r="O672" s="3" t="str">
        <f>IF(C672="","",IF(C672=5,IFERROR(INDEX(code_Note1!$F$13:$F$16,MATCH(E672,code_Note1!$E$13:$E$16,0)),INDEX(code_Note1!$F$16,1)),IF(B672&lt;code_Note1!$D$21,"No",IFERROR(VLOOKUP(C672,code_Note1!$D$3:$G$8,3,FALSE),""))))</f>
        <v>No</v>
      </c>
      <c r="P672" s="3" t="s">
        <v>831</v>
      </c>
    </row>
    <row r="673" spans="1:16" ht="19.5" customHeight="1">
      <c r="A673" s="2" t="s">
        <v>854</v>
      </c>
      <c r="B673" s="38">
        <v>45960</v>
      </c>
      <c r="C673" s="1">
        <v>2</v>
      </c>
      <c r="D673" s="1" t="s">
        <v>838</v>
      </c>
      <c r="E673" s="1" t="s">
        <v>21</v>
      </c>
      <c r="F673" s="8" t="s">
        <v>542</v>
      </c>
      <c r="G673" s="6">
        <v>0</v>
      </c>
      <c r="H673" s="6">
        <v>100</v>
      </c>
      <c r="I673" s="6"/>
      <c r="J673" s="7"/>
      <c r="K673" s="73"/>
      <c r="L673" s="73"/>
      <c r="M673" s="73"/>
      <c r="N673" s="73"/>
      <c r="O673" s="3" t="str">
        <f>IF(C673="","",IF(C673=5,IFERROR(INDEX(code_Note1!$F$13:$F$16,MATCH(E673,code_Note1!$E$13:$E$16,0)),INDEX(code_Note1!$F$16,1)),IF(B673&lt;code_Note1!$D$21,"No",IFERROR(VLOOKUP(C673,code_Note1!$D$3:$G$8,3,FALSE),""))))</f>
        <v>No</v>
      </c>
      <c r="P673" s="3" t="s">
        <v>831</v>
      </c>
    </row>
    <row r="674" spans="1:16" ht="19.5" customHeight="1">
      <c r="A674" s="2" t="s">
        <v>854</v>
      </c>
      <c r="B674" s="38">
        <v>45961</v>
      </c>
      <c r="C674" s="1">
        <v>2</v>
      </c>
      <c r="D674" s="1" t="s">
        <v>838</v>
      </c>
      <c r="E674" s="36" t="s">
        <v>80</v>
      </c>
      <c r="F674" s="8" t="s">
        <v>543</v>
      </c>
      <c r="G674" s="6">
        <v>11000000</v>
      </c>
      <c r="H674" s="6"/>
      <c r="I674" s="6"/>
      <c r="J674" s="7"/>
      <c r="K674" s="73"/>
      <c r="L674" s="73"/>
      <c r="M674" s="73"/>
      <c r="N674" s="73"/>
      <c r="O674" s="3" t="str">
        <f>IF(C674="","",IF(C674=5,IFERROR(INDEX(code_Note1!$F$13:$F$16,MATCH(E674,code_Note1!$E$13:$E$16,0)),INDEX(code_Note1!$F$16,1)),IF(B674&lt;code_Note1!$D$21,"No",IFERROR(VLOOKUP(C674,code_Note1!$D$3:$G$8,3,FALSE),""))))</f>
        <v>No</v>
      </c>
      <c r="P674" s="3" t="s">
        <v>831</v>
      </c>
    </row>
    <row r="675" spans="1:16" ht="19.5" customHeight="1">
      <c r="A675" s="2" t="s">
        <v>854</v>
      </c>
      <c r="B675" s="38">
        <v>45961</v>
      </c>
      <c r="C675" s="1">
        <v>2</v>
      </c>
      <c r="D675" s="1" t="s">
        <v>838</v>
      </c>
      <c r="E675" s="1" t="s">
        <v>21</v>
      </c>
      <c r="F675" s="8" t="s">
        <v>544</v>
      </c>
      <c r="G675" s="6">
        <v>380000</v>
      </c>
      <c r="H675" s="6"/>
      <c r="I675" s="6"/>
      <c r="J675" s="7"/>
      <c r="K675" s="73"/>
      <c r="L675" s="73"/>
      <c r="M675" s="73"/>
      <c r="N675" s="73"/>
      <c r="O675" s="3" t="str">
        <f>IF(C675="","",IF(C675=5,IFERROR(INDEX(code_Note1!$F$13:$F$16,MATCH(E675,code_Note1!$E$13:$E$16,0)),INDEX(code_Note1!$F$16,1)),IF(B675&lt;code_Note1!$D$21,"No",IFERROR(VLOOKUP(C675,code_Note1!$D$3:$G$8,3,FALSE),""))))</f>
        <v>No</v>
      </c>
      <c r="P675" s="3" t="s">
        <v>831</v>
      </c>
    </row>
    <row r="676" spans="1:16" ht="19.5" customHeight="1">
      <c r="A676" s="2" t="s">
        <v>854</v>
      </c>
      <c r="B676" s="38">
        <v>45961</v>
      </c>
      <c r="C676" s="1">
        <v>2</v>
      </c>
      <c r="D676" s="1" t="s">
        <v>838</v>
      </c>
      <c r="E676" s="1" t="s">
        <v>46</v>
      </c>
      <c r="F676" s="8" t="s">
        <v>545</v>
      </c>
      <c r="G676" s="6">
        <v>7250000</v>
      </c>
      <c r="H676" s="6"/>
      <c r="I676" s="6"/>
      <c r="J676" s="7"/>
      <c r="K676" s="73"/>
      <c r="L676" s="73"/>
      <c r="M676" s="73"/>
      <c r="N676" s="73"/>
      <c r="O676" s="3" t="str">
        <f>IF(C676="","",IF(C676=5,IFERROR(INDEX(code_Note1!$F$13:$F$16,MATCH(E676,code_Note1!$E$13:$E$16,0)),INDEX(code_Note1!$F$16,1)),IF(B676&lt;code_Note1!$D$21,"No",IFERROR(VLOOKUP(C676,code_Note1!$D$3:$G$8,3,FALSE),""))))</f>
        <v>No</v>
      </c>
      <c r="P676" s="3" t="s">
        <v>831</v>
      </c>
    </row>
    <row r="677" spans="1:16" ht="19.5" customHeight="1">
      <c r="A677" s="2" t="s">
        <v>856</v>
      </c>
      <c r="B677" s="38">
        <v>45962</v>
      </c>
      <c r="C677" s="1">
        <v>1</v>
      </c>
      <c r="D677" s="1" t="s">
        <v>824</v>
      </c>
      <c r="E677" s="27" t="s">
        <v>62</v>
      </c>
      <c r="F677" s="8" t="s">
        <v>63</v>
      </c>
      <c r="G677" s="6">
        <v>2183800</v>
      </c>
      <c r="H677" s="6"/>
      <c r="I677" s="6"/>
      <c r="J677" s="7"/>
      <c r="K677" s="73"/>
      <c r="L677" s="73"/>
      <c r="M677" s="73"/>
      <c r="N677" s="73"/>
      <c r="O677" s="3" t="str">
        <f>IF(C677="","",IF(C677=5,IFERROR(INDEX(code_Note1!$F$13:$F$16,MATCH(E677,code_Note1!$E$13:$E$16,0)),INDEX(code_Note1!$F$16,1)),IF(B677&lt;code_Note1!$D$21,"No",IFERROR(VLOOKUP(C677,code_Note1!$D$3:$G$8,3,FALSE),""))))</f>
        <v>Yes</v>
      </c>
      <c r="P677" s="3" t="s">
        <v>832</v>
      </c>
    </row>
    <row r="678" spans="1:16" ht="19.5" customHeight="1">
      <c r="A678" s="2" t="s">
        <v>856</v>
      </c>
      <c r="B678" s="38">
        <v>45963</v>
      </c>
      <c r="C678" s="1">
        <v>3</v>
      </c>
      <c r="D678" s="1" t="s">
        <v>823</v>
      </c>
      <c r="E678" s="1" t="s">
        <v>12</v>
      </c>
      <c r="F678" s="8" t="s">
        <v>546</v>
      </c>
      <c r="G678" s="6">
        <v>259000</v>
      </c>
      <c r="H678" s="6"/>
      <c r="I678" s="6"/>
      <c r="J678" s="7"/>
      <c r="K678" s="73"/>
      <c r="L678" s="73"/>
      <c r="M678" s="73"/>
      <c r="N678" s="73"/>
      <c r="O678" s="3" t="str">
        <f>IF(C678="","",IF(C678=5,IFERROR(INDEX(code_Note1!$F$13:$F$16,MATCH(E678,code_Note1!$E$13:$E$16,0)),INDEX(code_Note1!$F$16,1)),IF(B678&lt;code_Note1!$D$21,"No",IFERROR(VLOOKUP(C678,code_Note1!$D$3:$G$8,3,FALSE),""))))</f>
        <v>yes</v>
      </c>
      <c r="P678" s="3" t="s">
        <v>832</v>
      </c>
    </row>
    <row r="679" spans="1:16" ht="19.5" customHeight="1">
      <c r="A679" s="2" t="s">
        <v>856</v>
      </c>
      <c r="B679" s="38">
        <v>45963</v>
      </c>
      <c r="C679" s="1">
        <v>1</v>
      </c>
      <c r="D679" s="1" t="s">
        <v>824</v>
      </c>
      <c r="E679" s="1" t="s">
        <v>332</v>
      </c>
      <c r="F679" s="8" t="s">
        <v>547</v>
      </c>
      <c r="G679" s="6">
        <v>320000</v>
      </c>
      <c r="H679" s="6"/>
      <c r="I679" s="6"/>
      <c r="J679" s="7"/>
      <c r="K679" s="73"/>
      <c r="L679" s="73"/>
      <c r="M679" s="73"/>
      <c r="N679" s="73"/>
      <c r="O679" s="3" t="str">
        <f>IF(C679="","",IF(C679=5,IFERROR(INDEX(code_Note1!$F$13:$F$16,MATCH(E679,code_Note1!$E$13:$E$16,0)),INDEX(code_Note1!$F$16,1)),IF(B679&lt;code_Note1!$D$21,"No",IFERROR(VLOOKUP(C679,code_Note1!$D$3:$G$8,3,FALSE),""))))</f>
        <v>Yes</v>
      </c>
      <c r="P679" s="3" t="s">
        <v>832</v>
      </c>
    </row>
    <row r="680" spans="1:16" ht="19.5" customHeight="1">
      <c r="A680" s="2" t="s">
        <v>856</v>
      </c>
      <c r="B680" s="38">
        <v>45964</v>
      </c>
      <c r="C680" s="1">
        <v>5</v>
      </c>
      <c r="D680" s="1" t="s">
        <v>841</v>
      </c>
      <c r="E680" s="28" t="s">
        <v>549</v>
      </c>
      <c r="F680" s="8" t="s">
        <v>548</v>
      </c>
      <c r="G680" s="6">
        <v>10000000</v>
      </c>
      <c r="H680" s="6"/>
      <c r="I680" s="6"/>
      <c r="J680" s="7"/>
      <c r="K680" s="73"/>
      <c r="L680" s="73"/>
      <c r="M680" s="73"/>
      <c r="N680" s="73"/>
      <c r="O680" s="3" t="str">
        <f>IF(C680="","",IF(C680=5,IFERROR(INDEX(code_Note1!$F$13:$F$16,MATCH(E680,code_Note1!$E$13:$E$16,0)),INDEX(code_Note1!$F$16,1)),IF(B680&lt;code_Note1!$D$21,"No",IFERROR(VLOOKUP(C680,code_Note1!$D$3:$G$8,3,FALSE),""))))</f>
        <v>Yes/No</v>
      </c>
      <c r="P680" s="3" t="s">
        <v>843</v>
      </c>
    </row>
    <row r="681" spans="1:16" ht="19.5" customHeight="1">
      <c r="A681" s="2" t="s">
        <v>854</v>
      </c>
      <c r="B681" s="38">
        <v>45964</v>
      </c>
      <c r="C681" s="1">
        <v>2</v>
      </c>
      <c r="D681" s="1" t="s">
        <v>838</v>
      </c>
      <c r="E681" s="1" t="s">
        <v>51</v>
      </c>
      <c r="F681" s="8" t="s">
        <v>550</v>
      </c>
      <c r="G681" s="6">
        <v>3900000</v>
      </c>
      <c r="H681" s="6"/>
      <c r="I681" s="6"/>
      <c r="J681" s="7"/>
      <c r="K681" s="73"/>
      <c r="L681" s="73"/>
      <c r="M681" s="73"/>
      <c r="N681" s="73"/>
      <c r="O681" s="3" t="str">
        <f>IF(C681="","",IF(C681=5,IFERROR(INDEX(code_Note1!$F$13:$F$16,MATCH(E681,code_Note1!$E$13:$E$16,0)),INDEX(code_Note1!$F$16,1)),IF(B681&lt;code_Note1!$D$21,"No",IFERROR(VLOOKUP(C681,code_Note1!$D$3:$G$8,3,FALSE),""))))</f>
        <v>No</v>
      </c>
      <c r="P681" s="3" t="s">
        <v>831</v>
      </c>
    </row>
    <row r="682" spans="1:16" ht="19.5" customHeight="1">
      <c r="A682" s="2" t="s">
        <v>854</v>
      </c>
      <c r="B682" s="38">
        <v>45964</v>
      </c>
      <c r="C682" s="1">
        <v>2</v>
      </c>
      <c r="D682" s="1" t="s">
        <v>838</v>
      </c>
      <c r="E682" s="1" t="s">
        <v>25</v>
      </c>
      <c r="F682" s="8" t="s">
        <v>551</v>
      </c>
      <c r="G682" s="6">
        <v>4900000</v>
      </c>
      <c r="H682" s="6"/>
      <c r="I682" s="6"/>
      <c r="J682" s="7"/>
      <c r="K682" s="73"/>
      <c r="L682" s="73"/>
      <c r="M682" s="73"/>
      <c r="N682" s="73"/>
      <c r="O682" s="3" t="str">
        <f>IF(C682="","",IF(C682=5,IFERROR(INDEX(code_Note1!$F$13:$F$16,MATCH(E682,code_Note1!$E$13:$E$16,0)),INDEX(code_Note1!$F$16,1)),IF(B682&lt;code_Note1!$D$21,"No",IFERROR(VLOOKUP(C682,code_Note1!$D$3:$G$8,3,FALSE),""))))</f>
        <v>No</v>
      </c>
      <c r="P682" s="3" t="s">
        <v>831</v>
      </c>
    </row>
    <row r="683" spans="1:16" ht="19.5" customHeight="1">
      <c r="A683" s="2" t="s">
        <v>854</v>
      </c>
      <c r="B683" s="38">
        <v>45964</v>
      </c>
      <c r="C683" s="1">
        <v>2</v>
      </c>
      <c r="D683" s="1" t="s">
        <v>838</v>
      </c>
      <c r="E683" s="36" t="s">
        <v>80</v>
      </c>
      <c r="F683" s="8" t="s">
        <v>552</v>
      </c>
      <c r="G683" s="6">
        <v>12100000</v>
      </c>
      <c r="H683" s="6"/>
      <c r="I683" s="6"/>
      <c r="J683" s="7"/>
      <c r="K683" s="73"/>
      <c r="L683" s="73"/>
      <c r="M683" s="73"/>
      <c r="N683" s="73"/>
      <c r="O683" s="3" t="str">
        <f>IF(C683="","",IF(C683=5,IFERROR(INDEX(code_Note1!$F$13:$F$16,MATCH(E683,code_Note1!$E$13:$E$16,0)),INDEX(code_Note1!$F$16,1)),IF(B683&lt;code_Note1!$D$21,"No",IFERROR(VLOOKUP(C683,code_Note1!$D$3:$G$8,3,FALSE),""))))</f>
        <v>No</v>
      </c>
      <c r="P683" s="3" t="s">
        <v>831</v>
      </c>
    </row>
    <row r="684" spans="1:16" ht="19.5" customHeight="1">
      <c r="A684" s="2" t="s">
        <v>856</v>
      </c>
      <c r="B684" s="38">
        <v>45965</v>
      </c>
      <c r="C684" s="1">
        <v>3</v>
      </c>
      <c r="D684" s="1" t="s">
        <v>823</v>
      </c>
      <c r="E684" s="1" t="s">
        <v>44</v>
      </c>
      <c r="F684" s="8" t="s">
        <v>309</v>
      </c>
      <c r="G684" s="6">
        <v>162000</v>
      </c>
      <c r="H684" s="6"/>
      <c r="I684" s="6"/>
      <c r="J684" s="7"/>
      <c r="K684" s="73"/>
      <c r="L684" s="73"/>
      <c r="M684" s="73"/>
      <c r="N684" s="73"/>
      <c r="O684" s="3" t="str">
        <f>IF(C684="","",IF(C684=5,IFERROR(INDEX(code_Note1!$F$13:$F$16,MATCH(E684,code_Note1!$E$13:$E$16,0)),INDEX(code_Note1!$F$16,1)),IF(B684&lt;code_Note1!$D$21,"No",IFERROR(VLOOKUP(C684,code_Note1!$D$3:$G$8,3,FALSE),""))))</f>
        <v>yes</v>
      </c>
      <c r="P684" s="3" t="s">
        <v>832</v>
      </c>
    </row>
    <row r="685" spans="1:16" ht="19.5" customHeight="1">
      <c r="A685" s="2" t="s">
        <v>854</v>
      </c>
      <c r="B685" s="38">
        <v>45965</v>
      </c>
      <c r="C685" s="1">
        <v>2</v>
      </c>
      <c r="D685" s="1" t="s">
        <v>838</v>
      </c>
      <c r="E685" s="1" t="s">
        <v>46</v>
      </c>
      <c r="F685" s="8" t="s">
        <v>553</v>
      </c>
      <c r="G685" s="6">
        <v>300000</v>
      </c>
      <c r="H685" s="6"/>
      <c r="I685" s="6"/>
      <c r="J685" s="7"/>
      <c r="K685" s="73"/>
      <c r="L685" s="73"/>
      <c r="M685" s="73"/>
      <c r="N685" s="73"/>
      <c r="O685" s="3" t="str">
        <f>IF(C685="","",IF(C685=5,IFERROR(INDEX(code_Note1!$F$13:$F$16,MATCH(E685,code_Note1!$E$13:$E$16,0)),INDEX(code_Note1!$F$16,1)),IF(B685&lt;code_Note1!$D$21,"No",IFERROR(VLOOKUP(C685,code_Note1!$D$3:$G$8,3,FALSE),""))))</f>
        <v>No</v>
      </c>
      <c r="P685" s="3" t="s">
        <v>831</v>
      </c>
    </row>
    <row r="686" spans="1:16" ht="19.5" customHeight="1">
      <c r="A686" s="2" t="s">
        <v>854</v>
      </c>
      <c r="B686" s="38">
        <v>45966</v>
      </c>
      <c r="C686" s="1">
        <v>2</v>
      </c>
      <c r="D686" s="1" t="s">
        <v>838</v>
      </c>
      <c r="E686" s="1" t="s">
        <v>46</v>
      </c>
      <c r="F686" s="8" t="s">
        <v>553</v>
      </c>
      <c r="G686" s="6">
        <v>600000</v>
      </c>
      <c r="H686" s="6"/>
      <c r="I686" s="6"/>
      <c r="J686" s="7"/>
      <c r="K686" s="73"/>
      <c r="L686" s="73"/>
      <c r="M686" s="73"/>
      <c r="N686" s="73"/>
      <c r="O686" s="3" t="str">
        <f>IF(C686="","",IF(C686=5,IFERROR(INDEX(code_Note1!$F$13:$F$16,MATCH(E686,code_Note1!$E$13:$E$16,0)),INDEX(code_Note1!$F$16,1)),IF(B686&lt;code_Note1!$D$21,"No",IFERROR(VLOOKUP(C686,code_Note1!$D$3:$G$8,3,FALSE),""))))</f>
        <v>No</v>
      </c>
      <c r="P686" s="3" t="s">
        <v>831</v>
      </c>
    </row>
    <row r="687" spans="1:16" ht="19.5" customHeight="1">
      <c r="A687" s="2" t="s">
        <v>854</v>
      </c>
      <c r="B687" s="38">
        <v>45967</v>
      </c>
      <c r="C687" s="1" t="s">
        <v>844</v>
      </c>
      <c r="D687" s="1" t="s">
        <v>826</v>
      </c>
      <c r="E687" s="28" t="s">
        <v>446</v>
      </c>
      <c r="F687" s="8" t="s">
        <v>554</v>
      </c>
      <c r="G687" s="6">
        <v>1025000</v>
      </c>
      <c r="H687" s="6"/>
      <c r="I687" s="6"/>
      <c r="J687" s="7"/>
      <c r="K687" s="73"/>
      <c r="L687" s="73"/>
      <c r="M687" s="73"/>
      <c r="N687" s="73"/>
      <c r="O687" s="3" t="str">
        <f>IF(C687="","",IF(C687=5,IFERROR(INDEX(code_Note1!$F$13:$F$16,MATCH(E687,code_Note1!$E$13:$E$16,0)),INDEX(code_Note1!$F$16,1)),IF(B687&lt;code_Note1!$D$21,"No",IFERROR(VLOOKUP(C687,code_Note1!$D$3:$G$8,3,FALSE),""))))</f>
        <v>No</v>
      </c>
      <c r="P687" s="3" t="s">
        <v>833</v>
      </c>
    </row>
    <row r="688" spans="1:16" ht="19.5" customHeight="1">
      <c r="A688" s="2" t="s">
        <v>854</v>
      </c>
      <c r="B688" s="38">
        <v>45967</v>
      </c>
      <c r="C688" s="1" t="s">
        <v>844</v>
      </c>
      <c r="D688" s="1" t="s">
        <v>826</v>
      </c>
      <c r="E688" s="28" t="s">
        <v>21</v>
      </c>
      <c r="F688" s="8" t="s">
        <v>555</v>
      </c>
      <c r="G688" s="6">
        <v>157000</v>
      </c>
      <c r="H688" s="6"/>
      <c r="I688" s="6"/>
      <c r="J688" s="7"/>
      <c r="K688" s="73"/>
      <c r="L688" s="73"/>
      <c r="M688" s="73"/>
      <c r="N688" s="73"/>
      <c r="O688" s="3" t="str">
        <f>IF(C688="","",IF(C688=5,IFERROR(INDEX(code_Note1!$F$13:$F$16,MATCH(E688,code_Note1!$E$13:$E$16,0)),INDEX(code_Note1!$F$16,1)),IF(B688&lt;code_Note1!$D$21,"No",IFERROR(VLOOKUP(C688,code_Note1!$D$3:$G$8,3,FALSE),""))))</f>
        <v>No</v>
      </c>
      <c r="P688" s="3" t="s">
        <v>833</v>
      </c>
    </row>
    <row r="689" spans="1:16" ht="19.5" customHeight="1">
      <c r="A689" s="2" t="s">
        <v>854</v>
      </c>
      <c r="B689" s="38">
        <v>45967</v>
      </c>
      <c r="C689" s="1" t="s">
        <v>844</v>
      </c>
      <c r="D689" s="1" t="s">
        <v>826</v>
      </c>
      <c r="E689" s="1" t="s">
        <v>51</v>
      </c>
      <c r="F689" s="8" t="s">
        <v>554</v>
      </c>
      <c r="G689" s="6">
        <v>3000000</v>
      </c>
      <c r="H689" s="6"/>
      <c r="I689" s="6"/>
      <c r="J689" s="7"/>
      <c r="K689" s="73"/>
      <c r="L689" s="73"/>
      <c r="M689" s="73"/>
      <c r="N689" s="73"/>
      <c r="O689" s="3" t="str">
        <f>IF(C689="","",IF(C689=5,IFERROR(INDEX(code_Note1!$F$13:$F$16,MATCH(E689,code_Note1!$E$13:$E$16,0)),INDEX(code_Note1!$F$16,1)),IF(B689&lt;code_Note1!$D$21,"No",IFERROR(VLOOKUP(C689,code_Note1!$D$3:$G$8,3,FALSE),""))))</f>
        <v>No</v>
      </c>
      <c r="P689" s="3" t="s">
        <v>833</v>
      </c>
    </row>
    <row r="690" spans="1:16" ht="19.5" customHeight="1">
      <c r="A690" s="2" t="s">
        <v>854</v>
      </c>
      <c r="B690" s="38">
        <v>45967</v>
      </c>
      <c r="C690" s="1" t="s">
        <v>844</v>
      </c>
      <c r="D690" s="1" t="s">
        <v>826</v>
      </c>
      <c r="E690" s="28" t="s">
        <v>46</v>
      </c>
      <c r="F690" s="8" t="s">
        <v>556</v>
      </c>
      <c r="G690" s="6">
        <v>0</v>
      </c>
      <c r="H690" s="6">
        <v>30000</v>
      </c>
      <c r="I690" s="6"/>
      <c r="J690" s="7"/>
      <c r="K690" s="73"/>
      <c r="L690" s="73"/>
      <c r="M690" s="73"/>
      <c r="N690" s="73"/>
      <c r="O690" s="3" t="str">
        <f>IF(C690="","",IF(C690=5,IFERROR(INDEX(code_Note1!$F$13:$F$16,MATCH(E690,code_Note1!$E$13:$E$16,0)),INDEX(code_Note1!$F$16,1)),IF(B690&lt;code_Note1!$D$21,"No",IFERROR(VLOOKUP(C690,code_Note1!$D$3:$G$8,3,FALSE),""))))</f>
        <v>No</v>
      </c>
      <c r="P690" s="3" t="s">
        <v>833</v>
      </c>
    </row>
    <row r="691" spans="1:16" ht="19.5" customHeight="1">
      <c r="A691" s="2" t="s">
        <v>854</v>
      </c>
      <c r="B691" s="38">
        <v>45968</v>
      </c>
      <c r="C691" s="1" t="s">
        <v>844</v>
      </c>
      <c r="D691" s="1" t="s">
        <v>826</v>
      </c>
      <c r="E691" s="28" t="s">
        <v>523</v>
      </c>
      <c r="F691" s="8" t="s">
        <v>522</v>
      </c>
      <c r="G691" s="6">
        <v>100000000</v>
      </c>
      <c r="H691" s="6"/>
      <c r="I691" s="6"/>
      <c r="J691" s="7"/>
      <c r="K691" s="73"/>
      <c r="L691" s="73"/>
      <c r="M691" s="73"/>
      <c r="N691" s="73"/>
      <c r="O691" s="3" t="str">
        <f>IF(C691="","",IF(C691=5,IFERROR(INDEX(code_Note1!$F$13:$F$16,MATCH(E691,code_Note1!$E$13:$E$16,0)),INDEX(code_Note1!$F$16,1)),IF(B691&lt;code_Note1!$D$21,"No",IFERROR(VLOOKUP(C691,code_Note1!$D$3:$G$8,3,FALSE),""))))</f>
        <v>No</v>
      </c>
      <c r="P691" s="3" t="s">
        <v>833</v>
      </c>
    </row>
    <row r="692" spans="1:16" ht="19.5" customHeight="1">
      <c r="A692" s="2" t="s">
        <v>854</v>
      </c>
      <c r="B692" s="38">
        <v>45969</v>
      </c>
      <c r="C692" s="1">
        <v>2</v>
      </c>
      <c r="D692" s="1" t="s">
        <v>838</v>
      </c>
      <c r="E692" s="1" t="s">
        <v>19</v>
      </c>
      <c r="F692" s="8" t="s">
        <v>489</v>
      </c>
      <c r="G692" s="6">
        <v>1600000</v>
      </c>
      <c r="H692" s="6"/>
      <c r="I692" s="6"/>
      <c r="J692" s="7"/>
      <c r="K692" s="73"/>
      <c r="L692" s="73"/>
      <c r="M692" s="73"/>
      <c r="N692" s="73"/>
      <c r="O692" s="3" t="str">
        <f>IF(C692="","",IF(C692=5,IFERROR(INDEX(code_Note1!$F$13:$F$16,MATCH(E692,code_Note1!$E$13:$E$16,0)),INDEX(code_Note1!$F$16,1)),IF(B692&lt;code_Note1!$D$21,"No",IFERROR(VLOOKUP(C692,code_Note1!$D$3:$G$8,3,FALSE),""))))</f>
        <v>No</v>
      </c>
      <c r="P692" s="3" t="s">
        <v>831</v>
      </c>
    </row>
    <row r="693" spans="1:16" ht="19.5" customHeight="1">
      <c r="A693" s="2" t="s">
        <v>854</v>
      </c>
      <c r="B693" s="38">
        <v>45969</v>
      </c>
      <c r="C693" s="1">
        <v>2</v>
      </c>
      <c r="D693" s="1" t="s">
        <v>838</v>
      </c>
      <c r="E693" s="1" t="s">
        <v>21</v>
      </c>
      <c r="F693" s="8" t="s">
        <v>557</v>
      </c>
      <c r="G693" s="6">
        <v>0</v>
      </c>
      <c r="H693" s="6">
        <v>470</v>
      </c>
      <c r="I693" s="6"/>
      <c r="J693" s="7"/>
      <c r="K693" s="73"/>
      <c r="L693" s="73"/>
      <c r="M693" s="73"/>
      <c r="N693" s="73"/>
      <c r="O693" s="3" t="str">
        <f>IF(C693="","",IF(C693=5,IFERROR(INDEX(code_Note1!$F$13:$F$16,MATCH(E693,code_Note1!$E$13:$E$16,0)),INDEX(code_Note1!$F$16,1)),IF(B693&lt;code_Note1!$D$21,"No",IFERROR(VLOOKUP(C693,code_Note1!$D$3:$G$8,3,FALSE),""))))</f>
        <v>No</v>
      </c>
      <c r="P693" s="3" t="s">
        <v>831</v>
      </c>
    </row>
    <row r="694" spans="1:16" ht="19.5" customHeight="1">
      <c r="A694" s="2" t="s">
        <v>854</v>
      </c>
      <c r="B694" s="38">
        <v>45969</v>
      </c>
      <c r="C694" s="1">
        <v>2</v>
      </c>
      <c r="D694" s="1" t="s">
        <v>838</v>
      </c>
      <c r="E694" s="1" t="s">
        <v>21</v>
      </c>
      <c r="F694" s="8" t="s">
        <v>558</v>
      </c>
      <c r="G694" s="6">
        <v>0</v>
      </c>
      <c r="H694" s="6">
        <v>225</v>
      </c>
      <c r="I694" s="6"/>
      <c r="J694" s="7"/>
      <c r="K694" s="73"/>
      <c r="L694" s="73"/>
      <c r="M694" s="73"/>
      <c r="N694" s="73"/>
      <c r="O694" s="3" t="str">
        <f>IF(C694="","",IF(C694=5,IFERROR(INDEX(code_Note1!$F$13:$F$16,MATCH(E694,code_Note1!$E$13:$E$16,0)),INDEX(code_Note1!$F$16,1)),IF(B694&lt;code_Note1!$D$21,"No",IFERROR(VLOOKUP(C694,code_Note1!$D$3:$G$8,3,FALSE),""))))</f>
        <v>No</v>
      </c>
      <c r="P694" s="3" t="s">
        <v>831</v>
      </c>
    </row>
    <row r="695" spans="1:16" ht="19.5" customHeight="1">
      <c r="A695" s="2" t="s">
        <v>854</v>
      </c>
      <c r="B695" s="38">
        <v>45970</v>
      </c>
      <c r="C695" s="1">
        <v>2</v>
      </c>
      <c r="D695" s="1" t="s">
        <v>838</v>
      </c>
      <c r="E695" s="1" t="s">
        <v>21</v>
      </c>
      <c r="F695" s="8" t="s">
        <v>559</v>
      </c>
      <c r="G695" s="6">
        <v>105000</v>
      </c>
      <c r="H695" s="6"/>
      <c r="I695" s="6"/>
      <c r="J695" s="7"/>
      <c r="K695" s="73"/>
      <c r="L695" s="73"/>
      <c r="M695" s="73"/>
      <c r="N695" s="73"/>
      <c r="O695" s="3" t="str">
        <f>IF(C695="","",IF(C695=5,IFERROR(INDEX(code_Note1!$F$13:$F$16,MATCH(E695,code_Note1!$E$13:$E$16,0)),INDEX(code_Note1!$F$16,1)),IF(B695&lt;code_Note1!$D$21,"No",IFERROR(VLOOKUP(C695,code_Note1!$D$3:$G$8,3,FALSE),""))))</f>
        <v>No</v>
      </c>
      <c r="P695" s="3" t="s">
        <v>831</v>
      </c>
    </row>
    <row r="696" spans="1:16" ht="19.5" customHeight="1">
      <c r="A696" s="2" t="s">
        <v>854</v>
      </c>
      <c r="B696" s="38">
        <v>45970</v>
      </c>
      <c r="C696" s="1">
        <v>2</v>
      </c>
      <c r="D696" s="1" t="s">
        <v>838</v>
      </c>
      <c r="E696" s="1" t="s">
        <v>19</v>
      </c>
      <c r="F696" s="8" t="s">
        <v>560</v>
      </c>
      <c r="G696" s="6">
        <v>442000</v>
      </c>
      <c r="H696" s="6"/>
      <c r="I696" s="6"/>
      <c r="J696" s="7"/>
      <c r="K696" s="73"/>
      <c r="L696" s="73"/>
      <c r="M696" s="73"/>
      <c r="N696" s="73"/>
      <c r="O696" s="3" t="str">
        <f>IF(C696="","",IF(C696=5,IFERROR(INDEX(code_Note1!$F$13:$F$16,MATCH(E696,code_Note1!$E$13:$E$16,0)),INDEX(code_Note1!$F$16,1)),IF(B696&lt;code_Note1!$D$21,"No",IFERROR(VLOOKUP(C696,code_Note1!$D$3:$G$8,3,FALSE),""))))</f>
        <v>No</v>
      </c>
      <c r="P696" s="3" t="s">
        <v>831</v>
      </c>
    </row>
    <row r="697" spans="1:16" ht="19.5" customHeight="1">
      <c r="A697" s="2" t="s">
        <v>856</v>
      </c>
      <c r="B697" s="38">
        <v>45971</v>
      </c>
      <c r="C697" s="1">
        <v>1</v>
      </c>
      <c r="D697" s="1" t="s">
        <v>824</v>
      </c>
      <c r="E697" s="27" t="s">
        <v>62</v>
      </c>
      <c r="F697" s="8" t="s">
        <v>561</v>
      </c>
      <c r="G697" s="6">
        <v>1700000</v>
      </c>
      <c r="H697" s="6"/>
      <c r="I697" s="6"/>
      <c r="J697" s="7"/>
      <c r="K697" s="73"/>
      <c r="L697" s="73"/>
      <c r="M697" s="73"/>
      <c r="N697" s="73"/>
      <c r="O697" s="3" t="str">
        <f>IF(C697="","",IF(C697=5,IFERROR(INDEX(code_Note1!$F$13:$F$16,MATCH(E697,code_Note1!$E$13:$E$16,0)),INDEX(code_Note1!$F$16,1)),IF(B697&lt;code_Note1!$D$21,"No",IFERROR(VLOOKUP(C697,code_Note1!$D$3:$G$8,3,FALSE),""))))</f>
        <v>Yes</v>
      </c>
      <c r="P697" s="3" t="s">
        <v>832</v>
      </c>
    </row>
    <row r="698" spans="1:16" ht="19.5" customHeight="1">
      <c r="A698" s="2" t="s">
        <v>854</v>
      </c>
      <c r="B698" s="38">
        <v>45972</v>
      </c>
      <c r="C698" s="1">
        <v>2</v>
      </c>
      <c r="D698" s="1" t="s">
        <v>838</v>
      </c>
      <c r="E698" s="1" t="s">
        <v>21</v>
      </c>
      <c r="F698" s="8" t="s">
        <v>562</v>
      </c>
      <c r="G698" s="6">
        <v>1785000</v>
      </c>
      <c r="H698" s="6"/>
      <c r="I698" s="6"/>
      <c r="J698" s="7"/>
      <c r="K698" s="73"/>
      <c r="L698" s="73"/>
      <c r="M698" s="73"/>
      <c r="N698" s="73"/>
      <c r="O698" s="3" t="str">
        <f>IF(C698="","",IF(C698=5,IFERROR(INDEX(code_Note1!$F$13:$F$16,MATCH(E698,code_Note1!$E$13:$E$16,0)),INDEX(code_Note1!$F$16,1)),IF(B698&lt;code_Note1!$D$21,"No",IFERROR(VLOOKUP(C698,code_Note1!$D$3:$G$8,3,FALSE),""))))</f>
        <v>No</v>
      </c>
      <c r="P698" s="3" t="s">
        <v>831</v>
      </c>
    </row>
    <row r="699" spans="1:16" ht="19.5" customHeight="1">
      <c r="A699" s="2" t="s">
        <v>854</v>
      </c>
      <c r="B699" s="38">
        <v>45972</v>
      </c>
      <c r="C699" s="1">
        <v>2</v>
      </c>
      <c r="D699" s="1" t="s">
        <v>838</v>
      </c>
      <c r="E699" s="1" t="s">
        <v>21</v>
      </c>
      <c r="F699" s="8" t="s">
        <v>562</v>
      </c>
      <c r="G699" s="6">
        <v>2000000</v>
      </c>
      <c r="H699" s="6"/>
      <c r="I699" s="6"/>
      <c r="J699" s="7"/>
      <c r="K699" s="73"/>
      <c r="L699" s="73"/>
      <c r="M699" s="73"/>
      <c r="N699" s="73"/>
      <c r="O699" s="3" t="str">
        <f>IF(C699="","",IF(C699=5,IFERROR(INDEX(code_Note1!$F$13:$F$16,MATCH(E699,code_Note1!$E$13:$E$16,0)),INDEX(code_Note1!$F$16,1)),IF(B699&lt;code_Note1!$D$21,"No",IFERROR(VLOOKUP(C699,code_Note1!$D$3:$G$8,3,FALSE),""))))</f>
        <v>No</v>
      </c>
      <c r="P699" s="3" t="s">
        <v>831</v>
      </c>
    </row>
    <row r="700" spans="1:16" ht="19.5" customHeight="1">
      <c r="A700" s="2" t="s">
        <v>854</v>
      </c>
      <c r="B700" s="38">
        <v>45973</v>
      </c>
      <c r="C700" s="1">
        <v>2</v>
      </c>
      <c r="D700" s="1" t="s">
        <v>838</v>
      </c>
      <c r="E700" s="1" t="s">
        <v>388</v>
      </c>
      <c r="F700" s="8" t="s">
        <v>563</v>
      </c>
      <c r="G700" s="6">
        <v>100000000</v>
      </c>
      <c r="H700" s="6"/>
      <c r="I700" s="6"/>
      <c r="J700" s="7"/>
      <c r="K700" s="73"/>
      <c r="L700" s="73"/>
      <c r="M700" s="73"/>
      <c r="N700" s="73"/>
      <c r="O700" s="3" t="str">
        <f>IF(C700="","",IF(C700=5,IFERROR(INDEX(code_Note1!$F$13:$F$16,MATCH(E700,code_Note1!$E$13:$E$16,0)),INDEX(code_Note1!$F$16,1)),IF(B700&lt;code_Note1!$D$21,"No",IFERROR(VLOOKUP(C700,code_Note1!$D$3:$G$8,3,FALSE),""))))</f>
        <v>No</v>
      </c>
      <c r="P700" s="3" t="s">
        <v>831</v>
      </c>
    </row>
    <row r="701" spans="1:16" ht="19.5" customHeight="1">
      <c r="A701" s="2" t="s">
        <v>854</v>
      </c>
      <c r="B701" s="38">
        <v>45973</v>
      </c>
      <c r="C701" s="1">
        <v>2</v>
      </c>
      <c r="D701" s="1" t="s">
        <v>838</v>
      </c>
      <c r="E701" s="1" t="s">
        <v>46</v>
      </c>
      <c r="F701" s="8" t="s">
        <v>564</v>
      </c>
      <c r="G701" s="6">
        <v>7340000</v>
      </c>
      <c r="H701" s="6"/>
      <c r="I701" s="6"/>
      <c r="J701" s="7"/>
      <c r="K701" s="73"/>
      <c r="L701" s="73"/>
      <c r="M701" s="73"/>
      <c r="N701" s="73"/>
      <c r="O701" s="3" t="str">
        <f>IF(C701="","",IF(C701=5,IFERROR(INDEX(code_Note1!$F$13:$F$16,MATCH(E701,code_Note1!$E$13:$E$16,0)),INDEX(code_Note1!$F$16,1)),IF(B701&lt;code_Note1!$D$21,"No",IFERROR(VLOOKUP(C701,code_Note1!$D$3:$G$8,3,FALSE),""))))</f>
        <v>No</v>
      </c>
      <c r="P701" s="3" t="s">
        <v>831</v>
      </c>
    </row>
    <row r="702" spans="1:16" ht="19.5" customHeight="1">
      <c r="A702" s="2" t="s">
        <v>854</v>
      </c>
      <c r="B702" s="38">
        <v>45974</v>
      </c>
      <c r="C702" s="1" t="s">
        <v>844</v>
      </c>
      <c r="D702" s="1" t="s">
        <v>826</v>
      </c>
      <c r="E702" s="1" t="s">
        <v>566</v>
      </c>
      <c r="F702" s="8" t="s">
        <v>565</v>
      </c>
      <c r="G702" s="6">
        <v>3835000</v>
      </c>
      <c r="H702" s="6"/>
      <c r="I702" s="6"/>
      <c r="J702" s="7"/>
      <c r="K702" s="73"/>
      <c r="L702" s="73"/>
      <c r="M702" s="73"/>
      <c r="N702" s="73"/>
      <c r="O702" s="3" t="str">
        <f>IF(C702="","",IF(C702=5,IFERROR(INDEX(code_Note1!$F$13:$F$16,MATCH(E702,code_Note1!$E$13:$E$16,0)),INDEX(code_Note1!$F$16,1)),IF(B702&lt;code_Note1!$D$21,"No",IFERROR(VLOOKUP(C702,code_Note1!$D$3:$G$8,3,FALSE),""))))</f>
        <v>No</v>
      </c>
      <c r="P702" s="3" t="s">
        <v>833</v>
      </c>
    </row>
    <row r="703" spans="1:16" ht="19.5" customHeight="1">
      <c r="A703" s="2" t="s">
        <v>854</v>
      </c>
      <c r="B703" s="38">
        <v>45974</v>
      </c>
      <c r="C703" s="1" t="s">
        <v>844</v>
      </c>
      <c r="D703" s="1" t="s">
        <v>826</v>
      </c>
      <c r="E703" s="28" t="s">
        <v>12</v>
      </c>
      <c r="F703" s="8" t="s">
        <v>209</v>
      </c>
      <c r="G703" s="6">
        <v>250000</v>
      </c>
      <c r="H703" s="6"/>
      <c r="I703" s="6"/>
      <c r="J703" s="7"/>
      <c r="K703" s="73"/>
      <c r="L703" s="73"/>
      <c r="M703" s="73"/>
      <c r="N703" s="73"/>
      <c r="O703" s="3" t="str">
        <f>IF(C703="","",IF(C703=5,IFERROR(INDEX(code_Note1!$F$13:$F$16,MATCH(E703,code_Note1!$E$13:$E$16,0)),INDEX(code_Note1!$F$16,1)),IF(B703&lt;code_Note1!$D$21,"No",IFERROR(VLOOKUP(C703,code_Note1!$D$3:$G$8,3,FALSE),""))))</f>
        <v>No</v>
      </c>
      <c r="P703" s="3" t="s">
        <v>833</v>
      </c>
    </row>
    <row r="704" spans="1:16" ht="19.5" customHeight="1">
      <c r="A704" s="2" t="s">
        <v>854</v>
      </c>
      <c r="B704" s="38">
        <v>45974</v>
      </c>
      <c r="C704" s="1" t="s">
        <v>844</v>
      </c>
      <c r="D704" s="1" t="s">
        <v>826</v>
      </c>
      <c r="E704" s="28" t="s">
        <v>51</v>
      </c>
      <c r="F704" s="8" t="s">
        <v>567</v>
      </c>
      <c r="G704" s="6">
        <v>5000000</v>
      </c>
      <c r="H704" s="6"/>
      <c r="I704" s="6"/>
      <c r="J704" s="7"/>
      <c r="K704" s="73"/>
      <c r="L704" s="73"/>
      <c r="M704" s="73"/>
      <c r="N704" s="73"/>
      <c r="O704" s="3" t="str">
        <f>IF(C704="","",IF(C704=5,IFERROR(INDEX(code_Note1!$F$13:$F$16,MATCH(E704,code_Note1!$E$13:$E$16,0)),INDEX(code_Note1!$F$16,1)),IF(B704&lt;code_Note1!$D$21,"No",IFERROR(VLOOKUP(C704,code_Note1!$D$3:$G$8,3,FALSE),""))))</f>
        <v>No</v>
      </c>
      <c r="P704" s="3" t="s">
        <v>833</v>
      </c>
    </row>
    <row r="705" spans="1:16" ht="19.5" customHeight="1">
      <c r="A705" s="2" t="s">
        <v>856</v>
      </c>
      <c r="B705" s="38">
        <v>45974</v>
      </c>
      <c r="C705" s="1">
        <v>1</v>
      </c>
      <c r="D705" s="1" t="s">
        <v>824</v>
      </c>
      <c r="E705" s="1" t="s">
        <v>103</v>
      </c>
      <c r="F705" s="8" t="s">
        <v>102</v>
      </c>
      <c r="G705" s="6">
        <v>700000</v>
      </c>
      <c r="H705" s="6"/>
      <c r="I705" s="6"/>
      <c r="J705" s="7"/>
      <c r="K705" s="73"/>
      <c r="L705" s="73"/>
      <c r="M705" s="73"/>
      <c r="N705" s="73"/>
      <c r="O705" s="3" t="str">
        <f>IF(C705="","",IF(C705=5,IFERROR(INDEX(code_Note1!$F$13:$F$16,MATCH(E705,code_Note1!$E$13:$E$16,0)),INDEX(code_Note1!$F$16,1)),IF(B705&lt;code_Note1!$D$21,"No",IFERROR(VLOOKUP(C705,code_Note1!$D$3:$G$8,3,FALSE),""))))</f>
        <v>Yes</v>
      </c>
      <c r="P705" s="3" t="s">
        <v>832</v>
      </c>
    </row>
    <row r="706" spans="1:16" ht="19.5" customHeight="1">
      <c r="A706" s="2" t="s">
        <v>854</v>
      </c>
      <c r="B706" s="38">
        <v>45974</v>
      </c>
      <c r="C706" s="1" t="s">
        <v>844</v>
      </c>
      <c r="D706" s="1" t="s">
        <v>826</v>
      </c>
      <c r="E706" s="28" t="s">
        <v>446</v>
      </c>
      <c r="F706" s="8" t="s">
        <v>446</v>
      </c>
      <c r="G706" s="6">
        <v>2600000</v>
      </c>
      <c r="H706" s="6"/>
      <c r="I706" s="6"/>
      <c r="J706" s="7"/>
      <c r="K706" s="73"/>
      <c r="L706" s="73"/>
      <c r="M706" s="73"/>
      <c r="N706" s="73"/>
      <c r="O706" s="3" t="str">
        <f>IF(C706="","",IF(C706=5,IFERROR(INDEX(code_Note1!$F$13:$F$16,MATCH(E706,code_Note1!$E$13:$E$16,0)),INDEX(code_Note1!$F$16,1)),IF(B706&lt;code_Note1!$D$21,"No",IFERROR(VLOOKUP(C706,code_Note1!$D$3:$G$8,3,FALSE),""))))</f>
        <v>No</v>
      </c>
      <c r="P706" s="3" t="s">
        <v>833</v>
      </c>
    </row>
    <row r="707" spans="1:16" ht="19.5" customHeight="1">
      <c r="A707" s="2" t="s">
        <v>854</v>
      </c>
      <c r="B707" s="38">
        <v>45974</v>
      </c>
      <c r="C707" s="1" t="s">
        <v>844</v>
      </c>
      <c r="D707" s="1" t="s">
        <v>826</v>
      </c>
      <c r="E707" s="1" t="s">
        <v>127</v>
      </c>
      <c r="F707" s="8" t="s">
        <v>568</v>
      </c>
      <c r="G707" s="6">
        <v>0</v>
      </c>
      <c r="H707" s="6">
        <v>1000</v>
      </c>
      <c r="I707" s="6"/>
      <c r="J707" s="7"/>
      <c r="K707" s="73"/>
      <c r="L707" s="73"/>
      <c r="M707" s="73"/>
      <c r="N707" s="73"/>
      <c r="O707" s="3" t="str">
        <f>IF(C707="","",IF(C707=5,IFERROR(INDEX(code_Note1!$F$13:$F$16,MATCH(E707,code_Note1!$E$13:$E$16,0)),INDEX(code_Note1!$F$16,1)),IF(B707&lt;code_Note1!$D$21,"No",IFERROR(VLOOKUP(C707,code_Note1!$D$3:$G$8,3,FALSE),""))))</f>
        <v>No</v>
      </c>
      <c r="P707" s="3" t="s">
        <v>833</v>
      </c>
    </row>
    <row r="708" spans="1:16" ht="19.5" customHeight="1">
      <c r="A708" s="2" t="s">
        <v>854</v>
      </c>
      <c r="B708" s="38">
        <v>45974</v>
      </c>
      <c r="C708" s="1" t="s">
        <v>844</v>
      </c>
      <c r="D708" s="1" t="s">
        <v>826</v>
      </c>
      <c r="E708" s="28" t="s">
        <v>51</v>
      </c>
      <c r="F708" s="8" t="s">
        <v>569</v>
      </c>
      <c r="G708" s="6">
        <v>300000</v>
      </c>
      <c r="H708" s="6"/>
      <c r="I708" s="6"/>
      <c r="J708" s="7"/>
      <c r="K708" s="73"/>
      <c r="L708" s="73"/>
      <c r="M708" s="73"/>
      <c r="N708" s="73"/>
      <c r="O708" s="3" t="str">
        <f>IF(C708="","",IF(C708=5,IFERROR(INDEX(code_Note1!$F$13:$F$16,MATCH(E708,code_Note1!$E$13:$E$16,0)),INDEX(code_Note1!$F$16,1)),IF(B708&lt;code_Note1!$D$21,"No",IFERROR(VLOOKUP(C708,code_Note1!$D$3:$G$8,3,FALSE),""))))</f>
        <v>No</v>
      </c>
      <c r="P708" s="3" t="s">
        <v>833</v>
      </c>
    </row>
    <row r="709" spans="1:16" ht="19.5" customHeight="1">
      <c r="A709" s="2" t="s">
        <v>854</v>
      </c>
      <c r="B709" s="38">
        <v>45974</v>
      </c>
      <c r="C709" s="1" t="s">
        <v>844</v>
      </c>
      <c r="D709" s="1" t="s">
        <v>826</v>
      </c>
      <c r="E709" s="1" t="s">
        <v>127</v>
      </c>
      <c r="F709" s="8" t="s">
        <v>569</v>
      </c>
      <c r="G709" s="6">
        <v>500000</v>
      </c>
      <c r="H709" s="6"/>
      <c r="I709" s="6"/>
      <c r="J709" s="7"/>
      <c r="K709" s="73"/>
      <c r="L709" s="73"/>
      <c r="M709" s="73"/>
      <c r="N709" s="73"/>
      <c r="O709" s="3" t="str">
        <f>IF(C709="","",IF(C709=5,IFERROR(INDEX(code_Note1!$F$13:$F$16,MATCH(E709,code_Note1!$E$13:$E$16,0)),INDEX(code_Note1!$F$16,1)),IF(B709&lt;code_Note1!$D$21,"No",IFERROR(VLOOKUP(C709,code_Note1!$D$3:$G$8,3,FALSE),""))))</f>
        <v>No</v>
      </c>
      <c r="P709" s="3" t="s">
        <v>833</v>
      </c>
    </row>
    <row r="710" spans="1:16" ht="19.5" customHeight="1">
      <c r="A710" s="2" t="s">
        <v>854</v>
      </c>
      <c r="B710" s="38">
        <v>45974</v>
      </c>
      <c r="C710" s="1" t="s">
        <v>844</v>
      </c>
      <c r="D710" s="1" t="s">
        <v>826</v>
      </c>
      <c r="E710" s="1" t="s">
        <v>127</v>
      </c>
      <c r="F710" s="8" t="s">
        <v>570</v>
      </c>
      <c r="G710" s="6">
        <v>0</v>
      </c>
      <c r="H710" s="6">
        <v>1000</v>
      </c>
      <c r="I710" s="6"/>
      <c r="J710" s="7"/>
      <c r="K710" s="73"/>
      <c r="L710" s="73"/>
      <c r="M710" s="73"/>
      <c r="N710" s="73"/>
      <c r="O710" s="3" t="str">
        <f>IF(C710="","",IF(C710=5,IFERROR(INDEX(code_Note1!$F$13:$F$16,MATCH(E710,code_Note1!$E$13:$E$16,0)),INDEX(code_Note1!$F$16,1)),IF(B710&lt;code_Note1!$D$21,"No",IFERROR(VLOOKUP(C710,code_Note1!$D$3:$G$8,3,FALSE),""))))</f>
        <v>No</v>
      </c>
      <c r="P710" s="3" t="s">
        <v>833</v>
      </c>
    </row>
    <row r="711" spans="1:16" ht="19.5" customHeight="1">
      <c r="A711" s="2" t="s">
        <v>854</v>
      </c>
      <c r="B711" s="38">
        <v>45974</v>
      </c>
      <c r="C711" s="1">
        <v>2</v>
      </c>
      <c r="D711" s="1" t="s">
        <v>838</v>
      </c>
      <c r="E711" s="1" t="s">
        <v>60</v>
      </c>
      <c r="F711" s="8" t="s">
        <v>571</v>
      </c>
      <c r="G711" s="6">
        <v>0</v>
      </c>
      <c r="H711" s="6"/>
      <c r="I711" s="6"/>
      <c r="J711" s="7">
        <v>2160</v>
      </c>
      <c r="K711" s="73"/>
      <c r="L711" s="73"/>
      <c r="M711" s="73"/>
      <c r="N711" s="73"/>
      <c r="O711" s="3" t="str">
        <f>IF(C711="","",IF(C711=5,IFERROR(INDEX(code_Note1!$F$13:$F$16,MATCH(E711,code_Note1!$E$13:$E$16,0)),INDEX(code_Note1!$F$16,1)),IF(B711&lt;code_Note1!$D$21,"No",IFERROR(VLOOKUP(C711,code_Note1!$D$3:$G$8,3,FALSE),""))))</f>
        <v>No</v>
      </c>
      <c r="P711" s="3" t="s">
        <v>831</v>
      </c>
    </row>
    <row r="712" spans="1:16" ht="19.5" customHeight="1">
      <c r="A712" s="2" t="s">
        <v>856</v>
      </c>
      <c r="B712" s="38">
        <v>45975</v>
      </c>
      <c r="C712" s="1">
        <v>1</v>
      </c>
      <c r="D712" s="1" t="s">
        <v>824</v>
      </c>
      <c r="E712" s="1" t="s">
        <v>293</v>
      </c>
      <c r="F712" s="8" t="s">
        <v>572</v>
      </c>
      <c r="G712" s="6">
        <v>3240000</v>
      </c>
      <c r="H712" s="6"/>
      <c r="I712" s="6"/>
      <c r="J712" s="7"/>
      <c r="K712" s="73"/>
      <c r="L712" s="73"/>
      <c r="M712" s="73"/>
      <c r="N712" s="73"/>
      <c r="O712" s="3" t="str">
        <f>IF(C712="","",IF(C712=5,IFERROR(INDEX(code_Note1!$F$13:$F$16,MATCH(E712,code_Note1!$E$13:$E$16,0)),INDEX(code_Note1!$F$16,1)),IF(B712&lt;code_Note1!$D$21,"No",IFERROR(VLOOKUP(C712,code_Note1!$D$3:$G$8,3,FALSE),""))))</f>
        <v>Yes</v>
      </c>
      <c r="P712" s="3" t="s">
        <v>832</v>
      </c>
    </row>
    <row r="713" spans="1:16" ht="19.5" customHeight="1">
      <c r="A713" s="2" t="s">
        <v>856</v>
      </c>
      <c r="B713" s="38">
        <v>45975</v>
      </c>
      <c r="C713" s="1">
        <v>1</v>
      </c>
      <c r="D713" s="1" t="s">
        <v>824</v>
      </c>
      <c r="E713" s="1" t="s">
        <v>291</v>
      </c>
      <c r="F713" s="8" t="s">
        <v>573</v>
      </c>
      <c r="G713" s="6">
        <v>405000</v>
      </c>
      <c r="H713" s="6"/>
      <c r="I713" s="6"/>
      <c r="J713" s="7"/>
      <c r="K713" s="73"/>
      <c r="L713" s="73"/>
      <c r="M713" s="73"/>
      <c r="N713" s="73"/>
      <c r="O713" s="3" t="str">
        <f>IF(C713="","",IF(C713=5,IFERROR(INDEX(code_Note1!$F$13:$F$16,MATCH(E713,code_Note1!$E$13:$E$16,0)),INDEX(code_Note1!$F$16,1)),IF(B713&lt;code_Note1!$D$21,"No",IFERROR(VLOOKUP(C713,code_Note1!$D$3:$G$8,3,FALSE),""))))</f>
        <v>Yes</v>
      </c>
      <c r="P713" s="3" t="s">
        <v>832</v>
      </c>
    </row>
    <row r="714" spans="1:16" ht="19.5" customHeight="1">
      <c r="A714" s="2" t="s">
        <v>854</v>
      </c>
      <c r="B714" s="38">
        <v>45975</v>
      </c>
      <c r="C714" s="1" t="s">
        <v>844</v>
      </c>
      <c r="D714" s="1" t="s">
        <v>826</v>
      </c>
      <c r="E714" s="28" t="s">
        <v>446</v>
      </c>
      <c r="F714" s="8" t="s">
        <v>302</v>
      </c>
      <c r="G714" s="6">
        <v>7980000</v>
      </c>
      <c r="H714" s="6"/>
      <c r="I714" s="6"/>
      <c r="J714" s="7"/>
      <c r="K714" s="73"/>
      <c r="L714" s="73"/>
      <c r="M714" s="73"/>
      <c r="N714" s="73"/>
      <c r="O714" s="3" t="str">
        <f>IF(C714="","",IF(C714=5,IFERROR(INDEX(code_Note1!$F$13:$F$16,MATCH(E714,code_Note1!$E$13:$E$16,0)),INDEX(code_Note1!$F$16,1)),IF(B714&lt;code_Note1!$D$21,"No",IFERROR(VLOOKUP(C714,code_Note1!$D$3:$G$8,3,FALSE),""))))</f>
        <v>No</v>
      </c>
      <c r="P714" s="3" t="s">
        <v>833</v>
      </c>
    </row>
    <row r="715" spans="1:16" ht="19.5" customHeight="1">
      <c r="A715" s="2" t="s">
        <v>854</v>
      </c>
      <c r="B715" s="38">
        <v>45975</v>
      </c>
      <c r="C715" s="1">
        <v>2</v>
      </c>
      <c r="D715" s="1" t="s">
        <v>838</v>
      </c>
      <c r="E715" s="1" t="s">
        <v>30</v>
      </c>
      <c r="F715" s="8" t="s">
        <v>574</v>
      </c>
      <c r="G715" s="6">
        <v>1800000</v>
      </c>
      <c r="H715" s="6"/>
      <c r="I715" s="6"/>
      <c r="J715" s="7"/>
      <c r="K715" s="73"/>
      <c r="L715" s="73"/>
      <c r="M715" s="73"/>
      <c r="N715" s="73"/>
      <c r="O715" s="3" t="str">
        <f>IF(C715="","",IF(C715=5,IFERROR(INDEX(code_Note1!$F$13:$F$16,MATCH(E715,code_Note1!$E$13:$E$16,0)),INDEX(code_Note1!$F$16,1)),IF(B715&lt;code_Note1!$D$21,"No",IFERROR(VLOOKUP(C715,code_Note1!$D$3:$G$8,3,FALSE),""))))</f>
        <v>No</v>
      </c>
      <c r="P715" s="3" t="s">
        <v>831</v>
      </c>
    </row>
    <row r="716" spans="1:16" ht="19.5" customHeight="1">
      <c r="A716" s="2" t="s">
        <v>854</v>
      </c>
      <c r="B716" s="38">
        <v>45976</v>
      </c>
      <c r="C716" s="1">
        <v>2</v>
      </c>
      <c r="D716" s="1" t="s">
        <v>838</v>
      </c>
      <c r="E716" s="1" t="s">
        <v>111</v>
      </c>
      <c r="F716" s="8" t="s">
        <v>155</v>
      </c>
      <c r="G716" s="6">
        <v>450000</v>
      </c>
      <c r="H716" s="6"/>
      <c r="I716" s="6"/>
      <c r="J716" s="7"/>
      <c r="K716" s="73"/>
      <c r="L716" s="73"/>
      <c r="M716" s="73"/>
      <c r="N716" s="73"/>
      <c r="O716" s="3" t="str">
        <f>IF(C716="","",IF(C716=5,IFERROR(INDEX(code_Note1!$F$13:$F$16,MATCH(E716,code_Note1!$E$13:$E$16,0)),INDEX(code_Note1!$F$16,1)),IF(B716&lt;code_Note1!$D$21,"No",IFERROR(VLOOKUP(C716,code_Note1!$D$3:$G$8,3,FALSE),""))))</f>
        <v>No</v>
      </c>
      <c r="P716" s="3" t="s">
        <v>831</v>
      </c>
    </row>
    <row r="717" spans="1:16" ht="19.5" customHeight="1">
      <c r="A717" s="2" t="s">
        <v>856</v>
      </c>
      <c r="B717" s="38">
        <v>45977</v>
      </c>
      <c r="C717" s="1">
        <v>1</v>
      </c>
      <c r="D717" s="1" t="s">
        <v>824</v>
      </c>
      <c r="E717" s="1" t="s">
        <v>293</v>
      </c>
      <c r="F717" s="8" t="s">
        <v>492</v>
      </c>
      <c r="G717" s="6">
        <v>2880000</v>
      </c>
      <c r="H717" s="6"/>
      <c r="I717" s="6"/>
      <c r="J717" s="7"/>
      <c r="K717" s="73"/>
      <c r="L717" s="73"/>
      <c r="M717" s="73"/>
      <c r="N717" s="73"/>
      <c r="O717" s="3" t="str">
        <f>IF(C717="","",IF(C717=5,IFERROR(INDEX(code_Note1!$F$13:$F$16,MATCH(E717,code_Note1!$E$13:$E$16,0)),INDEX(code_Note1!$F$16,1)),IF(B717&lt;code_Note1!$D$21,"No",IFERROR(VLOOKUP(C717,code_Note1!$D$3:$G$8,3,FALSE),""))))</f>
        <v>Yes</v>
      </c>
      <c r="P717" s="3" t="s">
        <v>832</v>
      </c>
    </row>
    <row r="718" spans="1:16" ht="19.5" customHeight="1">
      <c r="A718" s="2" t="s">
        <v>856</v>
      </c>
      <c r="B718" s="38">
        <v>45977</v>
      </c>
      <c r="C718" s="1">
        <v>1</v>
      </c>
      <c r="D718" s="1" t="s">
        <v>824</v>
      </c>
      <c r="E718" s="1" t="s">
        <v>291</v>
      </c>
      <c r="F718" s="8" t="s">
        <v>404</v>
      </c>
      <c r="G718" s="6">
        <v>360000</v>
      </c>
      <c r="H718" s="6"/>
      <c r="I718" s="6"/>
      <c r="J718" s="7"/>
      <c r="K718" s="73"/>
      <c r="L718" s="73"/>
      <c r="M718" s="73"/>
      <c r="N718" s="73"/>
      <c r="O718" s="3" t="str">
        <f>IF(C718="","",IF(C718=5,IFERROR(INDEX(code_Note1!$F$13:$F$16,MATCH(E718,code_Note1!$E$13:$E$16,0)),INDEX(code_Note1!$F$16,1)),IF(B718&lt;code_Note1!$D$21,"No",IFERROR(VLOOKUP(C718,code_Note1!$D$3:$G$8,3,FALSE),""))))</f>
        <v>Yes</v>
      </c>
      <c r="P718" s="3" t="s">
        <v>832</v>
      </c>
    </row>
    <row r="719" spans="1:16" ht="19.5" customHeight="1">
      <c r="A719" s="2" t="s">
        <v>856</v>
      </c>
      <c r="B719" s="38">
        <v>45977</v>
      </c>
      <c r="C719" s="1">
        <v>1</v>
      </c>
      <c r="D719" s="1" t="s">
        <v>824</v>
      </c>
      <c r="E719" s="1" t="s">
        <v>103</v>
      </c>
      <c r="F719" s="8" t="s">
        <v>575</v>
      </c>
      <c r="G719" s="6">
        <v>800000</v>
      </c>
      <c r="H719" s="6"/>
      <c r="I719" s="6"/>
      <c r="J719" s="7"/>
      <c r="K719" s="73"/>
      <c r="L719" s="73"/>
      <c r="M719" s="73"/>
      <c r="N719" s="73"/>
      <c r="O719" s="3" t="str">
        <f>IF(C719="","",IF(C719=5,IFERROR(INDEX(code_Note1!$F$13:$F$16,MATCH(E719,code_Note1!$E$13:$E$16,0)),INDEX(code_Note1!$F$16,1)),IF(B719&lt;code_Note1!$D$21,"No",IFERROR(VLOOKUP(C719,code_Note1!$D$3:$G$8,3,FALSE),""))))</f>
        <v>Yes</v>
      </c>
      <c r="P719" s="3" t="s">
        <v>832</v>
      </c>
    </row>
    <row r="720" spans="1:16" ht="19.5" customHeight="1">
      <c r="A720" s="2" t="s">
        <v>854</v>
      </c>
      <c r="B720" s="38">
        <v>45977</v>
      </c>
      <c r="C720" s="1" t="s">
        <v>844</v>
      </c>
      <c r="D720" s="1" t="s">
        <v>826</v>
      </c>
      <c r="E720" s="1" t="s">
        <v>80</v>
      </c>
      <c r="F720" s="8" t="s">
        <v>576</v>
      </c>
      <c r="G720" s="6">
        <v>1300000</v>
      </c>
      <c r="H720" s="6"/>
      <c r="I720" s="6"/>
      <c r="J720" s="7"/>
      <c r="K720" s="73"/>
      <c r="L720" s="73"/>
      <c r="M720" s="73"/>
      <c r="N720" s="73"/>
      <c r="O720" s="3" t="str">
        <f>IF(C720="","",IF(C720=5,IFERROR(INDEX(code_Note1!$F$13:$F$16,MATCH(E720,code_Note1!$E$13:$E$16,0)),INDEX(code_Note1!$F$16,1)),IF(B720&lt;code_Note1!$D$21,"No",IFERROR(VLOOKUP(C720,code_Note1!$D$3:$G$8,3,FALSE),""))))</f>
        <v>No</v>
      </c>
      <c r="P720" s="3" t="s">
        <v>833</v>
      </c>
    </row>
    <row r="721" spans="1:16" ht="19.5" customHeight="1">
      <c r="A721" s="2" t="s">
        <v>854</v>
      </c>
      <c r="B721" s="38">
        <v>45977</v>
      </c>
      <c r="C721" s="1">
        <v>2</v>
      </c>
      <c r="D721" s="1" t="s">
        <v>838</v>
      </c>
      <c r="E721" s="1" t="s">
        <v>76</v>
      </c>
      <c r="F721" s="8" t="s">
        <v>577</v>
      </c>
      <c r="G721" s="6">
        <v>2000000</v>
      </c>
      <c r="H721" s="6"/>
      <c r="I721" s="6"/>
      <c r="J721" s="7"/>
      <c r="K721" s="73"/>
      <c r="L721" s="73"/>
      <c r="M721" s="73"/>
      <c r="N721" s="73"/>
      <c r="O721" s="3" t="str">
        <f>IF(C721="","",IF(C721=5,IFERROR(INDEX(code_Note1!$F$13:$F$16,MATCH(E721,code_Note1!$E$13:$E$16,0)),INDEX(code_Note1!$F$16,1)),IF(B721&lt;code_Note1!$D$21,"No",IFERROR(VLOOKUP(C721,code_Note1!$D$3:$G$8,3,FALSE),""))))</f>
        <v>No</v>
      </c>
      <c r="P721" s="3" t="s">
        <v>831</v>
      </c>
    </row>
    <row r="722" spans="1:16" ht="19.5" customHeight="1">
      <c r="A722" s="2" t="s">
        <v>854</v>
      </c>
      <c r="B722" s="38">
        <v>45977</v>
      </c>
      <c r="C722" s="1">
        <v>2</v>
      </c>
      <c r="D722" s="1" t="s">
        <v>838</v>
      </c>
      <c r="E722" s="1" t="s">
        <v>579</v>
      </c>
      <c r="F722" s="8" t="s">
        <v>578</v>
      </c>
      <c r="G722" s="6">
        <v>750000</v>
      </c>
      <c r="H722" s="6"/>
      <c r="I722" s="6"/>
      <c r="J722" s="7"/>
      <c r="K722" s="73"/>
      <c r="L722" s="73"/>
      <c r="M722" s="73"/>
      <c r="N722" s="73"/>
      <c r="O722" s="3" t="str">
        <f>IF(C722="","",IF(C722=5,IFERROR(INDEX(code_Note1!$F$13:$F$16,MATCH(E722,code_Note1!$E$13:$E$16,0)),INDEX(code_Note1!$F$16,1)),IF(B722&lt;code_Note1!$D$21,"No",IFERROR(VLOOKUP(C722,code_Note1!$D$3:$G$8,3,FALSE),""))))</f>
        <v>No</v>
      </c>
      <c r="P722" s="3" t="s">
        <v>831</v>
      </c>
    </row>
    <row r="723" spans="1:16" ht="19.5" customHeight="1">
      <c r="A723" s="2" t="s">
        <v>854</v>
      </c>
      <c r="B723" s="38">
        <v>45977</v>
      </c>
      <c r="C723" s="1">
        <v>2</v>
      </c>
      <c r="D723" s="1" t="s">
        <v>838</v>
      </c>
      <c r="E723" s="1" t="s">
        <v>579</v>
      </c>
      <c r="F723" s="8" t="s">
        <v>578</v>
      </c>
      <c r="G723" s="6">
        <v>1500000</v>
      </c>
      <c r="H723" s="6"/>
      <c r="I723" s="6"/>
      <c r="J723" s="7"/>
      <c r="K723" s="73"/>
      <c r="L723" s="73"/>
      <c r="M723" s="73"/>
      <c r="N723" s="73"/>
      <c r="O723" s="3" t="str">
        <f>IF(C723="","",IF(C723=5,IFERROR(INDEX(code_Note1!$F$13:$F$16,MATCH(E723,code_Note1!$E$13:$E$16,0)),INDEX(code_Note1!$F$16,1)),IF(B723&lt;code_Note1!$D$21,"No",IFERROR(VLOOKUP(C723,code_Note1!$D$3:$G$8,3,FALSE),""))))</f>
        <v>No</v>
      </c>
      <c r="P723" s="3" t="s">
        <v>831</v>
      </c>
    </row>
    <row r="724" spans="1:16" ht="19.5" customHeight="1">
      <c r="A724" s="2" t="s">
        <v>856</v>
      </c>
      <c r="B724" s="38">
        <v>45977</v>
      </c>
      <c r="C724" s="1">
        <v>1</v>
      </c>
      <c r="D724" s="1" t="s">
        <v>824</v>
      </c>
      <c r="E724" s="1" t="s">
        <v>103</v>
      </c>
      <c r="F724" s="8" t="s">
        <v>580</v>
      </c>
      <c r="G724" s="6">
        <v>200000</v>
      </c>
      <c r="H724" s="6"/>
      <c r="I724" s="6"/>
      <c r="J724" s="7"/>
      <c r="K724" s="73"/>
      <c r="L724" s="73"/>
      <c r="M724" s="73"/>
      <c r="N724" s="73"/>
      <c r="O724" s="3" t="str">
        <f>IF(C724="","",IF(C724=5,IFERROR(INDEX(code_Note1!$F$13:$F$16,MATCH(E724,code_Note1!$E$13:$E$16,0)),INDEX(code_Note1!$F$16,1)),IF(B724&lt;code_Note1!$D$21,"No",IFERROR(VLOOKUP(C724,code_Note1!$D$3:$G$8,3,FALSE),""))))</f>
        <v>Yes</v>
      </c>
      <c r="P724" s="3" t="s">
        <v>832</v>
      </c>
    </row>
    <row r="725" spans="1:16" ht="19.5" customHeight="1">
      <c r="A725" s="2" t="s">
        <v>856</v>
      </c>
      <c r="B725" s="38">
        <v>45978</v>
      </c>
      <c r="C725" s="1">
        <v>1</v>
      </c>
      <c r="D725" s="1" t="s">
        <v>824</v>
      </c>
      <c r="E725" s="27" t="s">
        <v>62</v>
      </c>
      <c r="F725" s="8" t="s">
        <v>63</v>
      </c>
      <c r="G725" s="6">
        <v>2935000</v>
      </c>
      <c r="H725" s="6"/>
      <c r="I725" s="6"/>
      <c r="J725" s="7"/>
      <c r="K725" s="73"/>
      <c r="L725" s="73"/>
      <c r="M725" s="73"/>
      <c r="N725" s="73"/>
      <c r="O725" s="3" t="str">
        <f>IF(C725="","",IF(C725=5,IFERROR(INDEX(code_Note1!$F$13:$F$16,MATCH(E725,code_Note1!$E$13:$E$16,0)),INDEX(code_Note1!$F$16,1)),IF(B725&lt;code_Note1!$D$21,"No",IFERROR(VLOOKUP(C725,code_Note1!$D$3:$G$8,3,FALSE),""))))</f>
        <v>Yes</v>
      </c>
      <c r="P725" s="3" t="s">
        <v>832</v>
      </c>
    </row>
    <row r="726" spans="1:16" ht="19.5" customHeight="1">
      <c r="A726" s="2" t="s">
        <v>854</v>
      </c>
      <c r="B726" s="38">
        <v>45978</v>
      </c>
      <c r="C726" s="1">
        <v>2</v>
      </c>
      <c r="D726" s="1" t="s">
        <v>838</v>
      </c>
      <c r="E726" s="1" t="s">
        <v>46</v>
      </c>
      <c r="F726" s="8" t="s">
        <v>130</v>
      </c>
      <c r="G726" s="6">
        <v>1670000</v>
      </c>
      <c r="H726" s="6"/>
      <c r="I726" s="6"/>
      <c r="J726" s="7"/>
      <c r="K726" s="73"/>
      <c r="L726" s="73"/>
      <c r="M726" s="73"/>
      <c r="N726" s="73"/>
      <c r="O726" s="3" t="str">
        <f>IF(C726="","",IF(C726=5,IFERROR(INDEX(code_Note1!$F$13:$F$16,MATCH(E726,code_Note1!$E$13:$E$16,0)),INDEX(code_Note1!$F$16,1)),IF(B726&lt;code_Note1!$D$21,"No",IFERROR(VLOOKUP(C726,code_Note1!$D$3:$G$8,3,FALSE),""))))</f>
        <v>No</v>
      </c>
      <c r="P726" s="3" t="s">
        <v>831</v>
      </c>
    </row>
    <row r="727" spans="1:16" ht="19.5" customHeight="1">
      <c r="A727" s="2" t="s">
        <v>854</v>
      </c>
      <c r="B727" s="38">
        <v>45978</v>
      </c>
      <c r="C727" s="1">
        <v>2</v>
      </c>
      <c r="D727" s="1" t="s">
        <v>838</v>
      </c>
      <c r="E727" s="1" t="s">
        <v>46</v>
      </c>
      <c r="F727" s="8" t="s">
        <v>130</v>
      </c>
      <c r="G727" s="6">
        <v>60000</v>
      </c>
      <c r="H727" s="6"/>
      <c r="I727" s="6"/>
      <c r="J727" s="7"/>
      <c r="K727" s="73"/>
      <c r="L727" s="73"/>
      <c r="M727" s="73"/>
      <c r="N727" s="73"/>
      <c r="O727" s="3" t="str">
        <f>IF(C727="","",IF(C727=5,IFERROR(INDEX(code_Note1!$F$13:$F$16,MATCH(E727,code_Note1!$E$13:$E$16,0)),INDEX(code_Note1!$F$16,1)),IF(B727&lt;code_Note1!$D$21,"No",IFERROR(VLOOKUP(C727,code_Note1!$D$3:$G$8,3,FALSE),""))))</f>
        <v>No</v>
      </c>
      <c r="P727" s="3" t="s">
        <v>831</v>
      </c>
    </row>
    <row r="728" spans="1:16" ht="19.5" customHeight="1">
      <c r="A728" s="2" t="s">
        <v>854</v>
      </c>
      <c r="B728" s="38">
        <v>45978</v>
      </c>
      <c r="C728" s="1">
        <v>2</v>
      </c>
      <c r="D728" s="1" t="s">
        <v>838</v>
      </c>
      <c r="E728" s="1" t="s">
        <v>166</v>
      </c>
      <c r="F728" s="8" t="s">
        <v>581</v>
      </c>
      <c r="G728" s="6">
        <v>2000000</v>
      </c>
      <c r="H728" s="6"/>
      <c r="I728" s="6"/>
      <c r="J728" s="7"/>
      <c r="K728" s="73"/>
      <c r="L728" s="73"/>
      <c r="M728" s="73"/>
      <c r="N728" s="73"/>
      <c r="O728" s="3" t="str">
        <f>IF(C728="","",IF(C728=5,IFERROR(INDEX(code_Note1!$F$13:$F$16,MATCH(E728,code_Note1!$E$13:$E$16,0)),INDEX(code_Note1!$F$16,1)),IF(B728&lt;code_Note1!$D$21,"No",IFERROR(VLOOKUP(C728,code_Note1!$D$3:$G$8,3,FALSE),""))))</f>
        <v>No</v>
      </c>
      <c r="P728" s="3" t="s">
        <v>831</v>
      </c>
    </row>
    <row r="729" spans="1:16" ht="19.5" customHeight="1">
      <c r="A729" s="2" t="s">
        <v>854</v>
      </c>
      <c r="B729" s="38">
        <v>45978</v>
      </c>
      <c r="C729" s="1">
        <v>2</v>
      </c>
      <c r="D729" s="1" t="s">
        <v>838</v>
      </c>
      <c r="E729" s="1" t="s">
        <v>111</v>
      </c>
      <c r="F729" s="8" t="s">
        <v>481</v>
      </c>
      <c r="G729" s="6">
        <v>0</v>
      </c>
      <c r="H729" s="6">
        <v>2835</v>
      </c>
      <c r="I729" s="6"/>
      <c r="J729" s="7"/>
      <c r="K729" s="73"/>
      <c r="L729" s="73"/>
      <c r="M729" s="73"/>
      <c r="N729" s="73"/>
      <c r="O729" s="3" t="str">
        <f>IF(C729="","",IF(C729=5,IFERROR(INDEX(code_Note1!$F$13:$F$16,MATCH(E729,code_Note1!$E$13:$E$16,0)),INDEX(code_Note1!$F$16,1)),IF(B729&lt;code_Note1!$D$21,"No",IFERROR(VLOOKUP(C729,code_Note1!$D$3:$G$8,3,FALSE),""))))</f>
        <v>No</v>
      </c>
      <c r="P729" s="3" t="s">
        <v>831</v>
      </c>
    </row>
    <row r="730" spans="1:16" ht="19.5" customHeight="1">
      <c r="A730" s="2" t="s">
        <v>856</v>
      </c>
      <c r="B730" s="38">
        <v>45978</v>
      </c>
      <c r="C730" s="1">
        <v>3</v>
      </c>
      <c r="D730" s="1" t="s">
        <v>823</v>
      </c>
      <c r="E730" s="1" t="s">
        <v>12</v>
      </c>
      <c r="F730" s="8" t="s">
        <v>210</v>
      </c>
      <c r="G730" s="6">
        <v>0</v>
      </c>
      <c r="H730" s="6">
        <v>2181.5</v>
      </c>
      <c r="I730" s="6"/>
      <c r="J730" s="7"/>
      <c r="K730" s="73"/>
      <c r="L730" s="73"/>
      <c r="M730" s="73"/>
      <c r="N730" s="73"/>
      <c r="O730" s="3" t="str">
        <f>IF(C730="","",IF(C730=5,IFERROR(INDEX(code_Note1!$F$13:$F$16,MATCH(E730,code_Note1!$E$13:$E$16,0)),INDEX(code_Note1!$F$16,1)),IF(B730&lt;code_Note1!$D$21,"No",IFERROR(VLOOKUP(C730,code_Note1!$D$3:$G$8,3,FALSE),""))))</f>
        <v>yes</v>
      </c>
      <c r="P730" s="3" t="s">
        <v>832</v>
      </c>
    </row>
    <row r="731" spans="1:16" ht="19.5" customHeight="1">
      <c r="A731" s="2" t="s">
        <v>854</v>
      </c>
      <c r="B731" s="38">
        <v>45980</v>
      </c>
      <c r="C731" s="1" t="s">
        <v>844</v>
      </c>
      <c r="D731" s="1" t="s">
        <v>826</v>
      </c>
      <c r="E731" s="28" t="s">
        <v>523</v>
      </c>
      <c r="F731" s="8" t="s">
        <v>522</v>
      </c>
      <c r="G731" s="6">
        <v>57610000</v>
      </c>
      <c r="H731" s="6"/>
      <c r="I731" s="6"/>
      <c r="J731" s="7"/>
      <c r="K731" s="73"/>
      <c r="L731" s="73"/>
      <c r="M731" s="73"/>
      <c r="N731" s="73"/>
      <c r="O731" s="3" t="str">
        <f>IF(C731="","",IF(C731=5,IFERROR(INDEX(code_Note1!$F$13:$F$16,MATCH(E731,code_Note1!$E$13:$E$16,0)),INDEX(code_Note1!$F$16,1)),IF(B731&lt;code_Note1!$D$21,"No",IFERROR(VLOOKUP(C731,code_Note1!$D$3:$G$8,3,FALSE),""))))</f>
        <v>No</v>
      </c>
      <c r="P731" s="3" t="s">
        <v>833</v>
      </c>
    </row>
    <row r="732" spans="1:16" ht="19.5" customHeight="1">
      <c r="A732" s="2" t="s">
        <v>854</v>
      </c>
      <c r="B732" s="38">
        <v>45980</v>
      </c>
      <c r="C732" s="1">
        <v>2</v>
      </c>
      <c r="D732" s="1" t="s">
        <v>838</v>
      </c>
      <c r="E732" s="1" t="s">
        <v>111</v>
      </c>
      <c r="F732" s="8" t="s">
        <v>582</v>
      </c>
      <c r="G732" s="6">
        <v>812000</v>
      </c>
      <c r="H732" s="6"/>
      <c r="I732" s="6"/>
      <c r="J732" s="7"/>
      <c r="K732" s="73"/>
      <c r="L732" s="73"/>
      <c r="M732" s="73"/>
      <c r="N732" s="73"/>
      <c r="O732" s="3" t="str">
        <f>IF(C732="","",IF(C732=5,IFERROR(INDEX(code_Note1!$F$13:$F$16,MATCH(E732,code_Note1!$E$13:$E$16,0)),INDEX(code_Note1!$F$16,1)),IF(B732&lt;code_Note1!$D$21,"No",IFERROR(VLOOKUP(C732,code_Note1!$D$3:$G$8,3,FALSE),""))))</f>
        <v>No</v>
      </c>
      <c r="P732" s="3" t="s">
        <v>831</v>
      </c>
    </row>
    <row r="733" spans="1:16" ht="19.5" customHeight="1">
      <c r="A733" s="2" t="s">
        <v>854</v>
      </c>
      <c r="B733" s="38">
        <v>45981</v>
      </c>
      <c r="C733" s="1">
        <v>2</v>
      </c>
      <c r="D733" s="1" t="s">
        <v>838</v>
      </c>
      <c r="E733" s="1" t="s">
        <v>42</v>
      </c>
      <c r="F733" s="8" t="s">
        <v>42</v>
      </c>
      <c r="G733" s="6">
        <v>3200000</v>
      </c>
      <c r="H733" s="6"/>
      <c r="I733" s="6"/>
      <c r="J733" s="7"/>
      <c r="K733" s="73"/>
      <c r="L733" s="73"/>
      <c r="M733" s="73"/>
      <c r="N733" s="73"/>
      <c r="O733" s="3" t="str">
        <f>IF(C733="","",IF(C733=5,IFERROR(INDEX(code_Note1!$F$13:$F$16,MATCH(E733,code_Note1!$E$13:$E$16,0)),INDEX(code_Note1!$F$16,1)),IF(B733&lt;code_Note1!$D$21,"No",IFERROR(VLOOKUP(C733,code_Note1!$D$3:$G$8,3,FALSE),""))))</f>
        <v>No</v>
      </c>
      <c r="P733" s="3" t="s">
        <v>831</v>
      </c>
    </row>
    <row r="734" spans="1:16" ht="19.5" customHeight="1">
      <c r="A734" s="2" t="s">
        <v>854</v>
      </c>
      <c r="B734" s="38">
        <v>45982</v>
      </c>
      <c r="C734" s="1">
        <v>2</v>
      </c>
      <c r="D734" s="1" t="s">
        <v>838</v>
      </c>
      <c r="E734" s="1" t="s">
        <v>281</v>
      </c>
      <c r="F734" s="8" t="s">
        <v>583</v>
      </c>
      <c r="G734" s="6">
        <v>0</v>
      </c>
      <c r="H734" s="6">
        <v>10000</v>
      </c>
      <c r="I734" s="6"/>
      <c r="J734" s="7"/>
      <c r="K734" s="73"/>
      <c r="L734" s="73"/>
      <c r="M734" s="73"/>
      <c r="N734" s="73"/>
      <c r="O734" s="3" t="str">
        <f>IF(C734="","",IF(C734=5,IFERROR(INDEX(code_Note1!$F$13:$F$16,MATCH(E734,code_Note1!$E$13:$E$16,0)),INDEX(code_Note1!$F$16,1)),IF(B734&lt;code_Note1!$D$21,"No",IFERROR(VLOOKUP(C734,code_Note1!$D$3:$G$8,3,FALSE),""))))</f>
        <v>No</v>
      </c>
      <c r="P734" s="3" t="s">
        <v>831</v>
      </c>
    </row>
    <row r="735" spans="1:16" ht="19.5" customHeight="1">
      <c r="A735" s="2" t="s">
        <v>854</v>
      </c>
      <c r="B735" s="38">
        <v>45986</v>
      </c>
      <c r="C735" s="1">
        <v>2</v>
      </c>
      <c r="D735" s="1" t="s">
        <v>838</v>
      </c>
      <c r="E735" s="1" t="s">
        <v>46</v>
      </c>
      <c r="F735" s="8" t="s">
        <v>130</v>
      </c>
      <c r="G735" s="46">
        <v>3920000</v>
      </c>
      <c r="H735" s="6"/>
      <c r="I735" s="6"/>
      <c r="J735" s="7"/>
      <c r="K735" s="73"/>
      <c r="L735" s="73"/>
      <c r="M735" s="73"/>
      <c r="N735" s="73"/>
      <c r="O735" s="3" t="str">
        <f>IF(C735="","",IF(C735=5,IFERROR(INDEX(code_Note1!$F$13:$F$16,MATCH(E735,code_Note1!$E$13:$E$16,0)),INDEX(code_Note1!$F$16,1)),IF(B735&lt;code_Note1!$D$21,"No",IFERROR(VLOOKUP(C735,code_Note1!$D$3:$G$8,3,FALSE),""))))</f>
        <v>No</v>
      </c>
      <c r="P735" s="3" t="s">
        <v>831</v>
      </c>
    </row>
    <row r="736" spans="1:16" ht="19.5" customHeight="1">
      <c r="A736" s="2" t="s">
        <v>856</v>
      </c>
      <c r="B736" s="38">
        <v>45986</v>
      </c>
      <c r="C736" s="1">
        <v>3</v>
      </c>
      <c r="D736" s="1" t="s">
        <v>823</v>
      </c>
      <c r="E736" s="29" t="s">
        <v>521</v>
      </c>
      <c r="F736" s="8" t="s">
        <v>584</v>
      </c>
      <c r="G736" s="6">
        <v>10000000</v>
      </c>
      <c r="H736" s="6"/>
      <c r="I736" s="6"/>
      <c r="J736" s="7"/>
      <c r="K736" s="73"/>
      <c r="L736" s="73"/>
      <c r="M736" s="73"/>
      <c r="N736" s="73"/>
      <c r="O736" s="3" t="str">
        <f>IF(C736="","",IF(C736=5,IFERROR(INDEX(code_Note1!$F$13:$F$16,MATCH(E736,code_Note1!$E$13:$E$16,0)),INDEX(code_Note1!$F$16,1)),IF(B736&lt;code_Note1!$D$21,"No",IFERROR(VLOOKUP(C736,code_Note1!$D$3:$G$8,3,FALSE),""))))</f>
        <v>yes</v>
      </c>
      <c r="P736" s="3" t="s">
        <v>832</v>
      </c>
    </row>
    <row r="737" spans="1:16" ht="19.5" customHeight="1">
      <c r="A737" s="2" t="s">
        <v>854</v>
      </c>
      <c r="B737" s="38">
        <v>45987</v>
      </c>
      <c r="C737" s="1">
        <v>2</v>
      </c>
      <c r="D737" s="1" t="s">
        <v>838</v>
      </c>
      <c r="E737" s="1" t="s">
        <v>388</v>
      </c>
      <c r="F737" s="8" t="s">
        <v>585</v>
      </c>
      <c r="G737" s="6">
        <v>267596000</v>
      </c>
      <c r="H737" s="6"/>
      <c r="I737" s="6"/>
      <c r="J737" s="7"/>
      <c r="K737" s="73"/>
      <c r="L737" s="73"/>
      <c r="M737" s="73"/>
      <c r="N737" s="73"/>
      <c r="O737" s="3" t="str">
        <f>IF(C737="","",IF(C737=5,IFERROR(INDEX(code_Note1!$F$13:$F$16,MATCH(E737,code_Note1!$E$13:$E$16,0)),INDEX(code_Note1!$F$16,1)),IF(B737&lt;code_Note1!$D$21,"No",IFERROR(VLOOKUP(C737,code_Note1!$D$3:$G$8,3,FALSE),""))))</f>
        <v>No</v>
      </c>
      <c r="P737" s="3" t="s">
        <v>831</v>
      </c>
    </row>
    <row r="738" spans="1:16" ht="19.5" customHeight="1">
      <c r="A738" s="2" t="s">
        <v>854</v>
      </c>
      <c r="B738" s="38">
        <v>45989</v>
      </c>
      <c r="C738" s="1">
        <v>2</v>
      </c>
      <c r="D738" s="1" t="s">
        <v>838</v>
      </c>
      <c r="E738" s="1" t="s">
        <v>46</v>
      </c>
      <c r="F738" s="8" t="s">
        <v>586</v>
      </c>
      <c r="G738" s="6">
        <v>400000</v>
      </c>
      <c r="H738" s="6"/>
      <c r="I738" s="6"/>
      <c r="J738" s="7"/>
      <c r="K738" s="73"/>
      <c r="L738" s="73"/>
      <c r="M738" s="73"/>
      <c r="N738" s="73"/>
      <c r="O738" s="3" t="str">
        <f>IF(C738="","",IF(C738=5,IFERROR(INDEX(code_Note1!$F$13:$F$16,MATCH(E738,code_Note1!$E$13:$E$16,0)),INDEX(code_Note1!$F$16,1)),IF(B738&lt;code_Note1!$D$21,"No",IFERROR(VLOOKUP(C738,code_Note1!$D$3:$G$8,3,FALSE),""))))</f>
        <v>No</v>
      </c>
      <c r="P738" s="3" t="s">
        <v>831</v>
      </c>
    </row>
    <row r="739" spans="1:16" ht="19.5" customHeight="1">
      <c r="A739" s="2" t="s">
        <v>856</v>
      </c>
      <c r="B739" s="38">
        <v>45989</v>
      </c>
      <c r="C739" s="1">
        <v>1</v>
      </c>
      <c r="D739" s="1" t="s">
        <v>824</v>
      </c>
      <c r="E739" s="1" t="s">
        <v>103</v>
      </c>
      <c r="F739" s="8" t="s">
        <v>102</v>
      </c>
      <c r="G739" s="6">
        <v>400000</v>
      </c>
      <c r="H739" s="6"/>
      <c r="I739" s="6"/>
      <c r="J739" s="7"/>
      <c r="K739" s="73"/>
      <c r="L739" s="73"/>
      <c r="M739" s="73"/>
      <c r="N739" s="73"/>
      <c r="O739" s="3" t="str">
        <f>IF(C739="","",IF(C739=5,IFERROR(INDEX(code_Note1!$F$13:$F$16,MATCH(E739,code_Note1!$E$13:$E$16,0)),INDEX(code_Note1!$F$16,1)),IF(B739&lt;code_Note1!$D$21,"No",IFERROR(VLOOKUP(C739,code_Note1!$D$3:$G$8,3,FALSE),""))))</f>
        <v>Yes</v>
      </c>
      <c r="P739" s="3" t="s">
        <v>832</v>
      </c>
    </row>
    <row r="740" spans="1:16" ht="19.5" customHeight="1">
      <c r="A740" s="2" t="s">
        <v>856</v>
      </c>
      <c r="B740" s="38">
        <v>45991</v>
      </c>
      <c r="C740" s="1">
        <v>1</v>
      </c>
      <c r="D740" s="1" t="s">
        <v>824</v>
      </c>
      <c r="E740" s="1" t="s">
        <v>293</v>
      </c>
      <c r="F740" s="8" t="s">
        <v>587</v>
      </c>
      <c r="G740" s="6">
        <v>1980000</v>
      </c>
      <c r="H740" s="6"/>
      <c r="I740" s="6"/>
      <c r="J740" s="7"/>
      <c r="K740" s="73"/>
      <c r="L740" s="73"/>
      <c r="M740" s="73"/>
      <c r="N740" s="73"/>
      <c r="O740" s="3" t="str">
        <f>IF(C740="","",IF(C740=5,IFERROR(INDEX(code_Note1!$F$13:$F$16,MATCH(E740,code_Note1!$E$13:$E$16,0)),INDEX(code_Note1!$F$16,1)),IF(B740&lt;code_Note1!$D$21,"No",IFERROR(VLOOKUP(C740,code_Note1!$D$3:$G$8,3,FALSE),""))))</f>
        <v>Yes</v>
      </c>
      <c r="P740" s="3" t="s">
        <v>832</v>
      </c>
    </row>
    <row r="741" spans="1:16" ht="19.5" customHeight="1">
      <c r="A741" s="2" t="s">
        <v>856</v>
      </c>
      <c r="B741" s="38">
        <v>45991</v>
      </c>
      <c r="C741" s="1">
        <v>1</v>
      </c>
      <c r="D741" s="1" t="s">
        <v>824</v>
      </c>
      <c r="E741" s="1" t="s">
        <v>291</v>
      </c>
      <c r="F741" s="8" t="s">
        <v>588</v>
      </c>
      <c r="G741" s="6">
        <v>250000</v>
      </c>
      <c r="H741" s="6"/>
      <c r="I741" s="6"/>
      <c r="J741" s="7"/>
      <c r="K741" s="73"/>
      <c r="L741" s="73"/>
      <c r="M741" s="73"/>
      <c r="N741" s="73"/>
      <c r="O741" s="3" t="str">
        <f>IF(C741="","",IF(C741=5,IFERROR(INDEX(code_Note1!$F$13:$F$16,MATCH(E741,code_Note1!$E$13:$E$16,0)),INDEX(code_Note1!$F$16,1)),IF(B741&lt;code_Note1!$D$21,"No",IFERROR(VLOOKUP(C741,code_Note1!$D$3:$G$8,3,FALSE),""))))</f>
        <v>Yes</v>
      </c>
      <c r="P741" s="3" t="s">
        <v>832</v>
      </c>
    </row>
    <row r="742" spans="1:16" ht="19.5" customHeight="1">
      <c r="A742" s="2" t="s">
        <v>856</v>
      </c>
      <c r="B742" s="38">
        <v>45991</v>
      </c>
      <c r="C742" s="1">
        <v>1</v>
      </c>
      <c r="D742" s="1" t="s">
        <v>824</v>
      </c>
      <c r="E742" s="1" t="s">
        <v>103</v>
      </c>
      <c r="F742" s="8" t="s">
        <v>589</v>
      </c>
      <c r="G742" s="6">
        <v>1000000</v>
      </c>
      <c r="H742" s="6"/>
      <c r="I742" s="6"/>
      <c r="J742" s="7"/>
      <c r="K742" s="73"/>
      <c r="L742" s="73"/>
      <c r="M742" s="73"/>
      <c r="N742" s="73"/>
      <c r="O742" s="3" t="str">
        <f>IF(C742="","",IF(C742=5,IFERROR(INDEX(code_Note1!$F$13:$F$16,MATCH(E742,code_Note1!$E$13:$E$16,0)),INDEX(code_Note1!$F$16,1)),IF(B742&lt;code_Note1!$D$21,"No",IFERROR(VLOOKUP(C742,code_Note1!$D$3:$G$8,3,FALSE),""))))</f>
        <v>Yes</v>
      </c>
      <c r="P742" s="3" t="s">
        <v>832</v>
      </c>
    </row>
    <row r="743" spans="1:16" ht="19.5" customHeight="1">
      <c r="A743" s="2" t="s">
        <v>856</v>
      </c>
      <c r="B743" s="38">
        <v>45991</v>
      </c>
      <c r="C743" s="1">
        <v>1</v>
      </c>
      <c r="D743" s="1" t="s">
        <v>824</v>
      </c>
      <c r="E743" s="1" t="s">
        <v>293</v>
      </c>
      <c r="F743" s="8" t="s">
        <v>590</v>
      </c>
      <c r="G743" s="6">
        <v>2808000</v>
      </c>
      <c r="H743" s="6"/>
      <c r="I743" s="6"/>
      <c r="J743" s="7"/>
      <c r="K743" s="73"/>
      <c r="L743" s="73"/>
      <c r="M743" s="73"/>
      <c r="N743" s="73"/>
      <c r="O743" s="3" t="str">
        <f>IF(C743="","",IF(C743=5,IFERROR(INDEX(code_Note1!$F$13:$F$16,MATCH(E743,code_Note1!$E$13:$E$16,0)),INDEX(code_Note1!$F$16,1)),IF(B743&lt;code_Note1!$D$21,"No",IFERROR(VLOOKUP(C743,code_Note1!$D$3:$G$8,3,FALSE),""))))</f>
        <v>Yes</v>
      </c>
      <c r="P743" s="3" t="s">
        <v>832</v>
      </c>
    </row>
    <row r="744" spans="1:16" ht="19.5" customHeight="1">
      <c r="A744" s="2" t="s">
        <v>856</v>
      </c>
      <c r="B744" s="38">
        <v>45992</v>
      </c>
      <c r="C744" s="1">
        <v>1</v>
      </c>
      <c r="D744" s="1" t="s">
        <v>824</v>
      </c>
      <c r="E744" s="37" t="s">
        <v>285</v>
      </c>
      <c r="F744" s="8" t="s">
        <v>591</v>
      </c>
      <c r="G744" s="6">
        <v>2136010</v>
      </c>
      <c r="H744" s="6"/>
      <c r="I744" s="6"/>
      <c r="J744" s="7"/>
      <c r="K744" s="73"/>
      <c r="L744" s="73"/>
      <c r="M744" s="73"/>
      <c r="N744" s="73"/>
      <c r="O744" s="3" t="str">
        <f>IF(C744="","",IF(C744=5,IFERROR(INDEX(code_Note1!$F$13:$F$16,MATCH(E744,code_Note1!$E$13:$E$16,0)),INDEX(code_Note1!$F$16,1)),IF(B744&lt;code_Note1!$D$21,"No",IFERROR(VLOOKUP(C744,code_Note1!$D$3:$G$8,3,FALSE),""))))</f>
        <v>Yes</v>
      </c>
      <c r="P744" s="3" t="s">
        <v>832</v>
      </c>
    </row>
    <row r="745" spans="1:16" ht="19.5" customHeight="1">
      <c r="A745" s="2" t="s">
        <v>856</v>
      </c>
      <c r="B745" s="38">
        <v>45992</v>
      </c>
      <c r="C745" s="1">
        <v>1</v>
      </c>
      <c r="D745" s="1" t="s">
        <v>824</v>
      </c>
      <c r="E745" s="37" t="s">
        <v>285</v>
      </c>
      <c r="F745" s="8" t="s">
        <v>591</v>
      </c>
      <c r="G745" s="6">
        <v>6088284</v>
      </c>
      <c r="H745" s="6"/>
      <c r="I745" s="6"/>
      <c r="J745" s="7"/>
      <c r="K745" s="73"/>
      <c r="L745" s="73"/>
      <c r="M745" s="73"/>
      <c r="N745" s="73"/>
      <c r="O745" s="3" t="str">
        <f>IF(C745="","",IF(C745=5,IFERROR(INDEX(code_Note1!$F$13:$F$16,MATCH(E745,code_Note1!$E$13:$E$16,0)),INDEX(code_Note1!$F$16,1)),IF(B745&lt;code_Note1!$D$21,"No",IFERROR(VLOOKUP(C745,code_Note1!$D$3:$G$8,3,FALSE),""))))</f>
        <v>Yes</v>
      </c>
      <c r="P745" s="3" t="s">
        <v>832</v>
      </c>
    </row>
    <row r="746" spans="1:16" ht="19.5" customHeight="1">
      <c r="A746" s="2" t="s">
        <v>854</v>
      </c>
      <c r="B746" s="38">
        <v>45992</v>
      </c>
      <c r="C746" s="1">
        <v>2</v>
      </c>
      <c r="D746" s="1" t="s">
        <v>838</v>
      </c>
      <c r="E746" s="1" t="s">
        <v>46</v>
      </c>
      <c r="F746" s="8" t="s">
        <v>365</v>
      </c>
      <c r="G746" s="6">
        <v>1700000</v>
      </c>
      <c r="H746" s="6"/>
      <c r="I746" s="6"/>
      <c r="J746" s="7"/>
      <c r="K746" s="73"/>
      <c r="L746" s="73"/>
      <c r="M746" s="73"/>
      <c r="N746" s="73"/>
      <c r="O746" s="3" t="str">
        <f>IF(C746="","",IF(C746=5,IFERROR(INDEX(code_Note1!$F$13:$F$16,MATCH(E746,code_Note1!$E$13:$E$16,0)),INDEX(code_Note1!$F$16,1)),IF(B746&lt;code_Note1!$D$21,"No",IFERROR(VLOOKUP(C746,code_Note1!$D$3:$G$8,3,FALSE),""))))</f>
        <v>No</v>
      </c>
      <c r="P746" s="3" t="s">
        <v>831</v>
      </c>
    </row>
    <row r="747" spans="1:16" ht="19.5" customHeight="1">
      <c r="A747" s="2" t="s">
        <v>856</v>
      </c>
      <c r="B747" s="38">
        <v>45992</v>
      </c>
      <c r="C747" s="1">
        <v>1</v>
      </c>
      <c r="D747" s="1" t="s">
        <v>824</v>
      </c>
      <c r="E747" s="27" t="s">
        <v>62</v>
      </c>
      <c r="F747" s="8" t="s">
        <v>63</v>
      </c>
      <c r="G747" s="6">
        <v>2180800</v>
      </c>
      <c r="H747" s="6"/>
      <c r="I747" s="6"/>
      <c r="J747" s="7"/>
      <c r="K747" s="73"/>
      <c r="L747" s="73"/>
      <c r="M747" s="73"/>
      <c r="N747" s="73"/>
      <c r="O747" s="3" t="str">
        <f>IF(C747="","",IF(C747=5,IFERROR(INDEX(code_Note1!$F$13:$F$16,MATCH(E747,code_Note1!$E$13:$E$16,0)),INDEX(code_Note1!$F$16,1)),IF(B747&lt;code_Note1!$D$21,"No",IFERROR(VLOOKUP(C747,code_Note1!$D$3:$G$8,3,FALSE),""))))</f>
        <v>Yes</v>
      </c>
      <c r="P747" s="3" t="s">
        <v>832</v>
      </c>
    </row>
    <row r="748" spans="1:16" ht="19.5" customHeight="1">
      <c r="A748" s="2" t="s">
        <v>857</v>
      </c>
      <c r="B748" s="38">
        <v>45992</v>
      </c>
      <c r="C748" s="1">
        <v>1</v>
      </c>
      <c r="D748" s="1" t="s">
        <v>824</v>
      </c>
      <c r="E748" s="1" t="s">
        <v>476</v>
      </c>
      <c r="F748" s="8" t="s">
        <v>476</v>
      </c>
      <c r="G748" s="6">
        <v>8800000</v>
      </c>
      <c r="H748" s="6"/>
      <c r="I748" s="6"/>
      <c r="J748" s="7"/>
      <c r="K748" s="73"/>
      <c r="L748" s="73"/>
      <c r="M748" s="73"/>
      <c r="N748" s="73"/>
      <c r="O748" s="3" t="str">
        <f>IF(C748="","",IF(C748=5,IFERROR(INDEX(code_Note1!$F$13:$F$16,MATCH(E748,code_Note1!$E$13:$E$16,0)),INDEX(code_Note1!$F$16,1)),IF(B748&lt;code_Note1!$D$21,"No",IFERROR(VLOOKUP(C748,code_Note1!$D$3:$G$8,3,FALSE),""))))</f>
        <v>Yes</v>
      </c>
      <c r="P748" s="3" t="s">
        <v>832</v>
      </c>
    </row>
    <row r="749" spans="1:16" ht="19.5" customHeight="1">
      <c r="A749" s="2" t="s">
        <v>857</v>
      </c>
      <c r="B749" s="38">
        <v>45993</v>
      </c>
      <c r="C749" s="1">
        <v>1</v>
      </c>
      <c r="D749" s="1" t="s">
        <v>824</v>
      </c>
      <c r="E749" s="1" t="s">
        <v>54</v>
      </c>
      <c r="F749" s="8" t="s">
        <v>357</v>
      </c>
      <c r="G749" s="6">
        <v>160000</v>
      </c>
      <c r="H749" s="6"/>
      <c r="I749" s="6"/>
      <c r="J749" s="7"/>
      <c r="K749" s="73"/>
      <c r="L749" s="73"/>
      <c r="M749" s="73"/>
      <c r="N749" s="73"/>
      <c r="O749" s="3" t="str">
        <f>IF(C749="","",IF(C749=5,IFERROR(INDEX(code_Note1!$F$13:$F$16,MATCH(E749,code_Note1!$E$13:$E$16,0)),INDEX(code_Note1!$F$16,1)),IF(B749&lt;code_Note1!$D$21,"No",IFERROR(VLOOKUP(C749,code_Note1!$D$3:$G$8,3,FALSE),""))))</f>
        <v>Yes</v>
      </c>
      <c r="P749" s="3" t="s">
        <v>832</v>
      </c>
    </row>
    <row r="750" spans="1:16" ht="19.5" customHeight="1">
      <c r="A750" s="2" t="s">
        <v>857</v>
      </c>
      <c r="B750" s="38">
        <v>45993</v>
      </c>
      <c r="C750" s="1">
        <v>3</v>
      </c>
      <c r="D750" s="1" t="s">
        <v>823</v>
      </c>
      <c r="E750" s="1" t="s">
        <v>12</v>
      </c>
      <c r="F750" s="8" t="s">
        <v>210</v>
      </c>
      <c r="G750" s="6">
        <v>0</v>
      </c>
      <c r="H750" s="6">
        <v>2940</v>
      </c>
      <c r="I750" s="6"/>
      <c r="J750" s="7"/>
      <c r="K750" s="73"/>
      <c r="L750" s="73"/>
      <c r="M750" s="73"/>
      <c r="N750" s="73"/>
      <c r="O750" s="3" t="str">
        <f>IF(C750="","",IF(C750=5,IFERROR(INDEX(code_Note1!$F$13:$F$16,MATCH(E750,code_Note1!$E$13:$E$16,0)),INDEX(code_Note1!$F$16,1)),IF(B750&lt;code_Note1!$D$21,"No",IFERROR(VLOOKUP(C750,code_Note1!$D$3:$G$8,3,FALSE),""))))</f>
        <v>yes</v>
      </c>
      <c r="P750" s="3" t="s">
        <v>832</v>
      </c>
    </row>
    <row r="751" spans="1:16" ht="19.5" customHeight="1">
      <c r="A751" s="2" t="s">
        <v>854</v>
      </c>
      <c r="B751" s="38">
        <v>45995</v>
      </c>
      <c r="C751" s="1">
        <v>2</v>
      </c>
      <c r="D751" s="1" t="s">
        <v>838</v>
      </c>
      <c r="E751" s="1" t="s">
        <v>42</v>
      </c>
      <c r="F751" s="8" t="s">
        <v>593</v>
      </c>
      <c r="G751" s="6">
        <v>3200000</v>
      </c>
      <c r="H751" s="6"/>
      <c r="I751" s="6"/>
      <c r="J751" s="7"/>
      <c r="K751" s="73"/>
      <c r="L751" s="73"/>
      <c r="M751" s="73"/>
      <c r="N751" s="73"/>
      <c r="O751" s="3" t="str">
        <f>IF(C751="","",IF(C751=5,IFERROR(INDEX(code_Note1!$F$13:$F$16,MATCH(E751,code_Note1!$E$13:$E$16,0)),INDEX(code_Note1!$F$16,1)),IF(B751&lt;code_Note1!$D$21,"No",IFERROR(VLOOKUP(C751,code_Note1!$D$3:$G$8,3,FALSE),""))))</f>
        <v>No</v>
      </c>
      <c r="P751" s="3" t="s">
        <v>831</v>
      </c>
    </row>
    <row r="752" spans="1:16" ht="19.5" customHeight="1">
      <c r="A752" s="2" t="s">
        <v>854</v>
      </c>
      <c r="B752" s="38">
        <v>45995</v>
      </c>
      <c r="C752" s="1">
        <v>2</v>
      </c>
      <c r="D752" s="1" t="s">
        <v>838</v>
      </c>
      <c r="E752" s="1" t="s">
        <v>166</v>
      </c>
      <c r="F752" s="8" t="s">
        <v>594</v>
      </c>
      <c r="G752" s="6">
        <v>2000000</v>
      </c>
      <c r="H752" s="6"/>
      <c r="I752" s="6"/>
      <c r="J752" s="7"/>
      <c r="K752" s="73"/>
      <c r="L752" s="73"/>
      <c r="M752" s="73"/>
      <c r="N752" s="73"/>
      <c r="O752" s="3" t="str">
        <f>IF(C752="","",IF(C752=5,IFERROR(INDEX(code_Note1!$F$13:$F$16,MATCH(E752,code_Note1!$E$13:$E$16,0)),INDEX(code_Note1!$F$16,1)),IF(B752&lt;code_Note1!$D$21,"No",IFERROR(VLOOKUP(C752,code_Note1!$D$3:$G$8,3,FALSE),""))))</f>
        <v>No</v>
      </c>
      <c r="P752" s="3" t="s">
        <v>831</v>
      </c>
    </row>
    <row r="753" spans="1:16" ht="19.5" customHeight="1">
      <c r="A753" s="2" t="s">
        <v>857</v>
      </c>
      <c r="B753" s="38">
        <v>45996</v>
      </c>
      <c r="C753" s="1">
        <v>1</v>
      </c>
      <c r="D753" s="1" t="s">
        <v>824</v>
      </c>
      <c r="E753" s="37" t="s">
        <v>285</v>
      </c>
      <c r="F753" s="8" t="s">
        <v>591</v>
      </c>
      <c r="G753" s="6">
        <v>1752211</v>
      </c>
      <c r="H753" s="6"/>
      <c r="I753" s="6"/>
      <c r="J753" s="7"/>
      <c r="K753" s="73"/>
      <c r="L753" s="73"/>
      <c r="M753" s="73"/>
      <c r="N753" s="73"/>
      <c r="O753" s="3" t="str">
        <f>IF(C753="","",IF(C753=5,IFERROR(INDEX(code_Note1!$F$13:$F$16,MATCH(E753,code_Note1!$E$13:$E$16,0)),INDEX(code_Note1!$F$16,1)),IF(B753&lt;code_Note1!$D$21,"No",IFERROR(VLOOKUP(C753,code_Note1!$D$3:$G$8,3,FALSE),""))))</f>
        <v>Yes</v>
      </c>
      <c r="P753" s="3" t="s">
        <v>832</v>
      </c>
    </row>
    <row r="754" spans="1:16" ht="19.5" customHeight="1">
      <c r="A754" s="2" t="s">
        <v>854</v>
      </c>
      <c r="B754" s="38">
        <v>45997</v>
      </c>
      <c r="C754" s="1" t="s">
        <v>844</v>
      </c>
      <c r="D754" s="1" t="s">
        <v>826</v>
      </c>
      <c r="E754" s="28" t="s">
        <v>51</v>
      </c>
      <c r="F754" s="8" t="s">
        <v>595</v>
      </c>
      <c r="G754" s="6">
        <v>5000000</v>
      </c>
      <c r="H754" s="6"/>
      <c r="I754" s="6"/>
      <c r="J754" s="7"/>
      <c r="K754" s="73"/>
      <c r="L754" s="73"/>
      <c r="M754" s="73"/>
      <c r="N754" s="73"/>
      <c r="O754" s="3" t="str">
        <f>IF(C754="","",IF(C754=5,IFERROR(INDEX(code_Note1!$F$13:$F$16,MATCH(E754,code_Note1!$E$13:$E$16,0)),INDEX(code_Note1!$F$16,1)),IF(B754&lt;code_Note1!$D$21,"No",IFERROR(VLOOKUP(C754,code_Note1!$D$3:$G$8,3,FALSE),""))))</f>
        <v>No</v>
      </c>
      <c r="P754" s="3" t="s">
        <v>833</v>
      </c>
    </row>
    <row r="755" spans="1:16" ht="19.5" customHeight="1">
      <c r="A755" s="2" t="s">
        <v>854</v>
      </c>
      <c r="B755" s="38">
        <v>45997</v>
      </c>
      <c r="C755" s="1">
        <v>2</v>
      </c>
      <c r="D755" s="1" t="s">
        <v>838</v>
      </c>
      <c r="E755" s="1" t="s">
        <v>51</v>
      </c>
      <c r="F755" s="8" t="s">
        <v>446</v>
      </c>
      <c r="G755" s="6">
        <v>2850000</v>
      </c>
      <c r="H755" s="6"/>
      <c r="I755" s="6"/>
      <c r="J755" s="7"/>
      <c r="K755" s="73"/>
      <c r="L755" s="73"/>
      <c r="M755" s="73"/>
      <c r="N755" s="73"/>
      <c r="O755" s="3" t="str">
        <f>IF(C755="","",IF(C755=5,IFERROR(INDEX(code_Note1!$F$13:$F$16,MATCH(E755,code_Note1!$E$13:$E$16,0)),INDEX(code_Note1!$F$16,1)),IF(B755&lt;code_Note1!$D$21,"No",IFERROR(VLOOKUP(C755,code_Note1!$D$3:$G$8,3,FALSE),""))))</f>
        <v>No</v>
      </c>
      <c r="P755" s="3" t="s">
        <v>831</v>
      </c>
    </row>
    <row r="756" spans="1:16" ht="19.5" customHeight="1">
      <c r="A756" s="2" t="s">
        <v>854</v>
      </c>
      <c r="B756" s="38">
        <v>45997</v>
      </c>
      <c r="C756" s="1">
        <v>2</v>
      </c>
      <c r="D756" s="1" t="s">
        <v>838</v>
      </c>
      <c r="E756" s="1" t="s">
        <v>21</v>
      </c>
      <c r="F756" s="8" t="s">
        <v>596</v>
      </c>
      <c r="G756" s="6">
        <v>600000</v>
      </c>
      <c r="H756" s="6"/>
      <c r="I756" s="6"/>
      <c r="J756" s="7"/>
      <c r="K756" s="73"/>
      <c r="L756" s="73"/>
      <c r="M756" s="73"/>
      <c r="N756" s="73"/>
      <c r="O756" s="3" t="str">
        <f>IF(C756="","",IF(C756=5,IFERROR(INDEX(code_Note1!$F$13:$F$16,MATCH(E756,code_Note1!$E$13:$E$16,0)),INDEX(code_Note1!$F$16,1)),IF(B756&lt;code_Note1!$D$21,"No",IFERROR(VLOOKUP(C756,code_Note1!$D$3:$G$8,3,FALSE),""))))</f>
        <v>No</v>
      </c>
      <c r="P756" s="3" t="s">
        <v>831</v>
      </c>
    </row>
    <row r="757" spans="1:16" ht="19.5" customHeight="1">
      <c r="A757" s="2" t="s">
        <v>854</v>
      </c>
      <c r="B757" s="38">
        <v>45998</v>
      </c>
      <c r="C757" s="1">
        <v>2</v>
      </c>
      <c r="D757" s="1" t="s">
        <v>838</v>
      </c>
      <c r="E757" s="1" t="s">
        <v>34</v>
      </c>
      <c r="F757" s="8" t="s">
        <v>34</v>
      </c>
      <c r="G757" s="6">
        <v>7703000</v>
      </c>
      <c r="H757" s="6"/>
      <c r="I757" s="6"/>
      <c r="J757" s="7"/>
      <c r="K757" s="73"/>
      <c r="L757" s="73"/>
      <c r="M757" s="73"/>
      <c r="N757" s="73"/>
      <c r="O757" s="3" t="str">
        <f>IF(C757="","",IF(C757=5,IFERROR(INDEX(code_Note1!$F$13:$F$16,MATCH(E757,code_Note1!$E$13:$E$16,0)),INDEX(code_Note1!$F$16,1)),IF(B757&lt;code_Note1!$D$21,"No",IFERROR(VLOOKUP(C757,code_Note1!$D$3:$G$8,3,FALSE),""))))</f>
        <v>No</v>
      </c>
      <c r="P757" s="3" t="s">
        <v>831</v>
      </c>
    </row>
    <row r="758" spans="1:16" ht="19.5" customHeight="1">
      <c r="A758" s="2" t="s">
        <v>854</v>
      </c>
      <c r="B758" s="38">
        <v>45999</v>
      </c>
      <c r="C758" s="1">
        <v>2</v>
      </c>
      <c r="D758" s="1" t="s">
        <v>838</v>
      </c>
      <c r="E758" s="1" t="s">
        <v>46</v>
      </c>
      <c r="F758" s="8" t="s">
        <v>597</v>
      </c>
      <c r="G758" s="6">
        <v>36000000</v>
      </c>
      <c r="H758" s="6"/>
      <c r="I758" s="6"/>
      <c r="J758" s="7"/>
      <c r="K758" s="73"/>
      <c r="L758" s="73"/>
      <c r="M758" s="73"/>
      <c r="N758" s="73"/>
      <c r="O758" s="3" t="str">
        <f>IF(C758="","",IF(C758=5,IFERROR(INDEX(code_Note1!$F$13:$F$16,MATCH(E758,code_Note1!$E$13:$E$16,0)),INDEX(code_Note1!$F$16,1)),IF(B758&lt;code_Note1!$D$21,"No",IFERROR(VLOOKUP(C758,code_Note1!$D$3:$G$8,3,FALSE),""))))</f>
        <v>No</v>
      </c>
      <c r="P758" s="3" t="s">
        <v>831</v>
      </c>
    </row>
    <row r="759" spans="1:16" ht="19.5" customHeight="1">
      <c r="A759" s="2" t="s">
        <v>857</v>
      </c>
      <c r="B759" s="38">
        <v>45999</v>
      </c>
      <c r="C759" s="1">
        <v>3</v>
      </c>
      <c r="D759" s="1" t="s">
        <v>823</v>
      </c>
      <c r="E759" s="1" t="s">
        <v>44</v>
      </c>
      <c r="F759" s="8" t="s">
        <v>598</v>
      </c>
      <c r="G759" s="6">
        <v>180000</v>
      </c>
      <c r="H759" s="6"/>
      <c r="I759" s="6"/>
      <c r="J759" s="7"/>
      <c r="K759" s="73"/>
      <c r="L759" s="73"/>
      <c r="M759" s="73"/>
      <c r="N759" s="73"/>
      <c r="O759" s="3" t="str">
        <f>IF(C759="","",IF(C759=5,IFERROR(INDEX(code_Note1!$F$13:$F$16,MATCH(E759,code_Note1!$E$13:$E$16,0)),INDEX(code_Note1!$F$16,1)),IF(B759&lt;code_Note1!$D$21,"No",IFERROR(VLOOKUP(C759,code_Note1!$D$3:$G$8,3,FALSE),""))))</f>
        <v>yes</v>
      </c>
      <c r="P759" s="3" t="s">
        <v>832</v>
      </c>
    </row>
    <row r="760" spans="1:16" ht="19.5" customHeight="1">
      <c r="A760" s="2" t="s">
        <v>854</v>
      </c>
      <c r="B760" s="38">
        <v>46000</v>
      </c>
      <c r="C760" s="1">
        <v>2</v>
      </c>
      <c r="D760" s="1" t="s">
        <v>838</v>
      </c>
      <c r="E760" s="1" t="s">
        <v>111</v>
      </c>
      <c r="F760" s="8" t="s">
        <v>599</v>
      </c>
      <c r="G760" s="6">
        <v>288000</v>
      </c>
      <c r="H760" s="6"/>
      <c r="I760" s="6"/>
      <c r="J760" s="7"/>
      <c r="K760" s="73"/>
      <c r="L760" s="73"/>
      <c r="M760" s="73"/>
      <c r="N760" s="73"/>
      <c r="O760" s="3" t="str">
        <f>IF(C760="","",IF(C760=5,IFERROR(INDEX(code_Note1!$F$13:$F$16,MATCH(E760,code_Note1!$E$13:$E$16,0)),INDEX(code_Note1!$F$16,1)),IF(B760&lt;code_Note1!$D$21,"No",IFERROR(VLOOKUP(C760,code_Note1!$D$3:$G$8,3,FALSE),""))))</f>
        <v>No</v>
      </c>
      <c r="P760" s="3" t="s">
        <v>831</v>
      </c>
    </row>
    <row r="761" spans="1:16" ht="19.5" customHeight="1">
      <c r="A761" s="2" t="s">
        <v>854</v>
      </c>
      <c r="B761" s="38">
        <v>46000</v>
      </c>
      <c r="C761" s="1">
        <v>2</v>
      </c>
      <c r="D761" s="1" t="s">
        <v>838</v>
      </c>
      <c r="E761" s="1" t="s">
        <v>46</v>
      </c>
      <c r="F761" s="8" t="s">
        <v>130</v>
      </c>
      <c r="G761" s="6">
        <v>3500000</v>
      </c>
      <c r="H761" s="6"/>
      <c r="I761" s="6"/>
      <c r="J761" s="7"/>
      <c r="K761" s="73"/>
      <c r="L761" s="73"/>
      <c r="M761" s="73"/>
      <c r="N761" s="73"/>
      <c r="O761" s="3" t="str">
        <f>IF(C761="","",IF(C761=5,IFERROR(INDEX(code_Note1!$F$13:$F$16,MATCH(E761,code_Note1!$E$13:$E$16,0)),INDEX(code_Note1!$F$16,1)),IF(B761&lt;code_Note1!$D$21,"No",IFERROR(VLOOKUP(C761,code_Note1!$D$3:$G$8,3,FALSE),""))))</f>
        <v>No</v>
      </c>
      <c r="P761" s="3" t="s">
        <v>831</v>
      </c>
    </row>
    <row r="762" spans="1:16" ht="19.5" customHeight="1">
      <c r="A762" s="2" t="s">
        <v>854</v>
      </c>
      <c r="B762" s="38">
        <v>46000</v>
      </c>
      <c r="C762" s="1">
        <v>2</v>
      </c>
      <c r="D762" s="1" t="s">
        <v>838</v>
      </c>
      <c r="E762" s="1" t="s">
        <v>382</v>
      </c>
      <c r="F762" s="8" t="s">
        <v>600</v>
      </c>
      <c r="G762" s="6">
        <v>0</v>
      </c>
      <c r="H762" s="6"/>
      <c r="I762" s="6"/>
      <c r="J762" s="7">
        <v>270</v>
      </c>
      <c r="K762" s="73"/>
      <c r="L762" s="73"/>
      <c r="M762" s="73"/>
      <c r="N762" s="73"/>
      <c r="O762" s="3" t="str">
        <f>IF(C762="","",IF(C762=5,IFERROR(INDEX(code_Note1!$F$13:$F$16,MATCH(E762,code_Note1!$E$13:$E$16,0)),INDEX(code_Note1!$F$16,1)),IF(B762&lt;code_Note1!$D$21,"No",IFERROR(VLOOKUP(C762,code_Note1!$D$3:$G$8,3,FALSE),""))))</f>
        <v>No</v>
      </c>
      <c r="P762" s="3" t="s">
        <v>831</v>
      </c>
    </row>
    <row r="763" spans="1:16" ht="19.5" customHeight="1">
      <c r="A763" s="2" t="s">
        <v>854</v>
      </c>
      <c r="B763" s="38">
        <v>46002</v>
      </c>
      <c r="C763" s="1" t="s">
        <v>845</v>
      </c>
      <c r="D763" s="1" t="s">
        <v>825</v>
      </c>
      <c r="E763" s="28" t="s">
        <v>602</v>
      </c>
      <c r="F763" s="8" t="s">
        <v>601</v>
      </c>
      <c r="G763" s="6">
        <v>0</v>
      </c>
      <c r="H763" s="6">
        <v>45000</v>
      </c>
      <c r="I763" s="6"/>
      <c r="J763" s="7"/>
      <c r="K763" s="73"/>
      <c r="L763" s="73"/>
      <c r="M763" s="73"/>
      <c r="N763" s="73"/>
      <c r="O763" s="3" t="str">
        <f>IF(C763="","",IF(C763=5,IFERROR(INDEX(code_Note1!$F$13:$F$16,MATCH(E763,code_Note1!$E$13:$E$16,0)),INDEX(code_Note1!$F$16,1)),IF(B763&lt;code_Note1!$D$21,"No",IFERROR(VLOOKUP(C763,code_Note1!$D$3:$G$8,3,FALSE),""))))</f>
        <v>No</v>
      </c>
      <c r="P763" s="3" t="s">
        <v>833</v>
      </c>
    </row>
    <row r="764" spans="1:16" ht="19.5" customHeight="1">
      <c r="A764" s="2" t="s">
        <v>854</v>
      </c>
      <c r="B764" s="38">
        <v>46004</v>
      </c>
      <c r="C764" s="1">
        <v>2</v>
      </c>
      <c r="D764" s="1" t="s">
        <v>838</v>
      </c>
      <c r="E764" s="1" t="s">
        <v>46</v>
      </c>
      <c r="F764" s="8" t="s">
        <v>130</v>
      </c>
      <c r="G764" s="6">
        <v>600000</v>
      </c>
      <c r="H764" s="6"/>
      <c r="I764" s="6"/>
      <c r="J764" s="7"/>
      <c r="K764" s="73"/>
      <c r="L764" s="73"/>
      <c r="M764" s="73"/>
      <c r="N764" s="73"/>
      <c r="O764" s="3" t="str">
        <f>IF(C764="","",IF(C764=5,IFERROR(INDEX(code_Note1!$F$13:$F$16,MATCH(E764,code_Note1!$E$13:$E$16,0)),INDEX(code_Note1!$F$16,1)),IF(B764&lt;code_Note1!$D$21,"No",IFERROR(VLOOKUP(C764,code_Note1!$D$3:$G$8,3,FALSE),""))))</f>
        <v>No</v>
      </c>
      <c r="P764" s="3" t="s">
        <v>831</v>
      </c>
    </row>
    <row r="765" spans="1:16" ht="19.5" customHeight="1">
      <c r="A765" s="2" t="s">
        <v>854</v>
      </c>
      <c r="B765" s="38">
        <v>46004</v>
      </c>
      <c r="C765" s="1">
        <v>2</v>
      </c>
      <c r="D765" s="1" t="s">
        <v>838</v>
      </c>
      <c r="E765" s="1" t="s">
        <v>281</v>
      </c>
      <c r="F765" s="8" t="s">
        <v>604</v>
      </c>
      <c r="G765" s="6">
        <v>1400000</v>
      </c>
      <c r="H765" s="6"/>
      <c r="I765" s="6"/>
      <c r="J765" s="7"/>
      <c r="K765" s="73"/>
      <c r="L765" s="73"/>
      <c r="M765" s="73"/>
      <c r="N765" s="73"/>
      <c r="O765" s="3" t="str">
        <f>IF(C765="","",IF(C765=5,IFERROR(INDEX(code_Note1!$F$13:$F$16,MATCH(E765,code_Note1!$E$13:$E$16,0)),INDEX(code_Note1!$F$16,1)),IF(B765&lt;code_Note1!$D$21,"No",IFERROR(VLOOKUP(C765,code_Note1!$D$3:$G$8,3,FALSE),""))))</f>
        <v>No</v>
      </c>
      <c r="P765" s="3" t="s">
        <v>831</v>
      </c>
    </row>
    <row r="766" spans="1:16" ht="19.5" customHeight="1">
      <c r="A766" s="2" t="s">
        <v>854</v>
      </c>
      <c r="B766" s="38">
        <v>46005</v>
      </c>
      <c r="C766" s="1" t="s">
        <v>845</v>
      </c>
      <c r="D766" s="1" t="s">
        <v>825</v>
      </c>
      <c r="E766" s="28" t="s">
        <v>602</v>
      </c>
      <c r="F766" s="8" t="s">
        <v>602</v>
      </c>
      <c r="G766" s="6">
        <v>0</v>
      </c>
      <c r="H766" s="6">
        <v>6000</v>
      </c>
      <c r="I766" s="6"/>
      <c r="J766" s="7"/>
      <c r="K766" s="73"/>
      <c r="L766" s="73"/>
      <c r="M766" s="73"/>
      <c r="N766" s="73"/>
      <c r="O766" s="3" t="str">
        <f>IF(C766="","",IF(C766=5,IFERROR(INDEX(code_Note1!$F$13:$F$16,MATCH(E766,code_Note1!$E$13:$E$16,0)),INDEX(code_Note1!$F$16,1)),IF(B766&lt;code_Note1!$D$21,"No",IFERROR(VLOOKUP(C766,code_Note1!$D$3:$G$8,3,FALSE),""))))</f>
        <v>No</v>
      </c>
      <c r="P766" s="3" t="s">
        <v>833</v>
      </c>
    </row>
    <row r="767" spans="1:16" ht="19.5" customHeight="1">
      <c r="A767" s="2" t="s">
        <v>854</v>
      </c>
      <c r="B767" s="38">
        <v>46005</v>
      </c>
      <c r="C767" s="1">
        <v>2</v>
      </c>
      <c r="D767" s="1" t="s">
        <v>838</v>
      </c>
      <c r="E767" s="1" t="s">
        <v>379</v>
      </c>
      <c r="F767" s="8" t="s">
        <v>605</v>
      </c>
      <c r="G767" s="6">
        <v>420000</v>
      </c>
      <c r="H767" s="6"/>
      <c r="I767" s="6"/>
      <c r="J767" s="7"/>
      <c r="K767" s="73"/>
      <c r="L767" s="73"/>
      <c r="M767" s="73"/>
      <c r="N767" s="73"/>
      <c r="O767" s="3" t="str">
        <f>IF(C767="","",IF(C767=5,IFERROR(INDEX(code_Note1!$F$13:$F$16,MATCH(E767,code_Note1!$E$13:$E$16,0)),INDEX(code_Note1!$F$16,1)),IF(B767&lt;code_Note1!$D$21,"No",IFERROR(VLOOKUP(C767,code_Note1!$D$3:$G$8,3,FALSE),""))))</f>
        <v>No</v>
      </c>
      <c r="P767" s="3" t="s">
        <v>831</v>
      </c>
    </row>
    <row r="768" spans="1:16" ht="19.5" customHeight="1">
      <c r="A768" s="2" t="s">
        <v>854</v>
      </c>
      <c r="B768" s="38">
        <v>46005</v>
      </c>
      <c r="C768" s="1">
        <v>2</v>
      </c>
      <c r="D768" s="1" t="s">
        <v>838</v>
      </c>
      <c r="E768" s="1" t="s">
        <v>76</v>
      </c>
      <c r="F768" s="8" t="s">
        <v>606</v>
      </c>
      <c r="G768" s="6">
        <v>1500000</v>
      </c>
      <c r="H768" s="6"/>
      <c r="I768" s="6"/>
      <c r="J768" s="7"/>
      <c r="K768" s="73"/>
      <c r="L768" s="73"/>
      <c r="M768" s="73"/>
      <c r="N768" s="73"/>
      <c r="O768" s="3" t="str">
        <f>IF(C768="","",IF(C768=5,IFERROR(INDEX(code_Note1!$F$13:$F$16,MATCH(E768,code_Note1!$E$13:$E$16,0)),INDEX(code_Note1!$F$16,1)),IF(B768&lt;code_Note1!$D$21,"No",IFERROR(VLOOKUP(C768,code_Note1!$D$3:$G$8,3,FALSE),""))))</f>
        <v>No</v>
      </c>
      <c r="P768" s="3" t="s">
        <v>831</v>
      </c>
    </row>
    <row r="769" spans="1:16" ht="19.5" customHeight="1">
      <c r="A769" s="2" t="s">
        <v>857</v>
      </c>
      <c r="B769" s="38">
        <v>46005</v>
      </c>
      <c r="C769" s="1">
        <v>3</v>
      </c>
      <c r="D769" s="1" t="s">
        <v>823</v>
      </c>
      <c r="E769" s="1" t="s">
        <v>38</v>
      </c>
      <c r="F769" s="8" t="s">
        <v>607</v>
      </c>
      <c r="G769" s="6">
        <v>560000</v>
      </c>
      <c r="H769" s="6"/>
      <c r="I769" s="6"/>
      <c r="J769" s="7"/>
      <c r="K769" s="73"/>
      <c r="L769" s="73"/>
      <c r="M769" s="73"/>
      <c r="N769" s="73"/>
      <c r="O769" s="3" t="str">
        <f>IF(C769="","",IF(C769=5,IFERROR(INDEX(code_Note1!$F$13:$F$16,MATCH(E769,code_Note1!$E$13:$E$16,0)),INDEX(code_Note1!$F$16,1)),IF(B769&lt;code_Note1!$D$21,"No",IFERROR(VLOOKUP(C769,code_Note1!$D$3:$G$8,3,FALSE),""))))</f>
        <v>yes</v>
      </c>
      <c r="P769" s="3" t="s">
        <v>832</v>
      </c>
    </row>
    <row r="770" spans="1:16" ht="19.5" customHeight="1">
      <c r="A770" s="2" t="s">
        <v>857</v>
      </c>
      <c r="B770" s="38">
        <v>46005</v>
      </c>
      <c r="C770" s="1">
        <v>3</v>
      </c>
      <c r="D770" s="1" t="s">
        <v>823</v>
      </c>
      <c r="E770" s="1" t="s">
        <v>44</v>
      </c>
      <c r="F770" s="8" t="s">
        <v>608</v>
      </c>
      <c r="G770" s="6">
        <v>72000</v>
      </c>
      <c r="H770" s="6"/>
      <c r="I770" s="6"/>
      <c r="J770" s="7"/>
      <c r="K770" s="73"/>
      <c r="L770" s="73"/>
      <c r="M770" s="73"/>
      <c r="N770" s="73"/>
      <c r="O770" s="3" t="str">
        <f>IF(C770="","",IF(C770=5,IFERROR(INDEX(code_Note1!$F$13:$F$16,MATCH(E770,code_Note1!$E$13:$E$16,0)),INDEX(code_Note1!$F$16,1)),IF(B770&lt;code_Note1!$D$21,"No",IFERROR(VLOOKUP(C770,code_Note1!$D$3:$G$8,3,FALSE),""))))</f>
        <v>yes</v>
      </c>
      <c r="P770" s="3" t="s">
        <v>832</v>
      </c>
    </row>
    <row r="771" spans="1:16" ht="19.5" customHeight="1">
      <c r="A771" s="2" t="s">
        <v>854</v>
      </c>
      <c r="B771" s="38">
        <v>46006</v>
      </c>
      <c r="C771" s="1">
        <v>2</v>
      </c>
      <c r="D771" s="1" t="s">
        <v>838</v>
      </c>
      <c r="E771" s="1" t="s">
        <v>42</v>
      </c>
      <c r="F771" s="8" t="s">
        <v>42</v>
      </c>
      <c r="G771" s="6">
        <v>3100000</v>
      </c>
      <c r="H771" s="6"/>
      <c r="I771" s="6"/>
      <c r="J771" s="7"/>
      <c r="K771" s="73"/>
      <c r="L771" s="73"/>
      <c r="M771" s="73"/>
      <c r="N771" s="73"/>
      <c r="O771" s="3" t="str">
        <f>IF(C771="","",IF(C771=5,IFERROR(INDEX(code_Note1!$F$13:$F$16,MATCH(E771,code_Note1!$E$13:$E$16,0)),INDEX(code_Note1!$F$16,1)),IF(B771&lt;code_Note1!$D$21,"No",IFERROR(VLOOKUP(C771,code_Note1!$D$3:$G$8,3,FALSE),""))))</f>
        <v>No</v>
      </c>
      <c r="P771" s="3" t="s">
        <v>831</v>
      </c>
    </row>
    <row r="772" spans="1:16" ht="19.5" customHeight="1">
      <c r="A772" s="2" t="s">
        <v>854</v>
      </c>
      <c r="B772" s="38">
        <v>46006</v>
      </c>
      <c r="C772" s="1">
        <v>2</v>
      </c>
      <c r="D772" s="1" t="s">
        <v>838</v>
      </c>
      <c r="E772" s="1" t="s">
        <v>21</v>
      </c>
      <c r="F772" s="8" t="s">
        <v>86</v>
      </c>
      <c r="G772" s="6">
        <v>60000</v>
      </c>
      <c r="H772" s="6"/>
      <c r="I772" s="6"/>
      <c r="J772" s="7"/>
      <c r="K772" s="73"/>
      <c r="L772" s="73"/>
      <c r="M772" s="73"/>
      <c r="N772" s="73"/>
      <c r="O772" s="3" t="str">
        <f>IF(C772="","",IF(C772=5,IFERROR(INDEX(code_Note1!$F$13:$F$16,MATCH(E772,code_Note1!$E$13:$E$16,0)),INDEX(code_Note1!$F$16,1)),IF(B772&lt;code_Note1!$D$21,"No",IFERROR(VLOOKUP(C772,code_Note1!$D$3:$G$8,3,FALSE),""))))</f>
        <v>No</v>
      </c>
      <c r="P772" s="3" t="s">
        <v>831</v>
      </c>
    </row>
    <row r="773" spans="1:16" ht="19.5" customHeight="1">
      <c r="A773" s="2" t="s">
        <v>854</v>
      </c>
      <c r="B773" s="38">
        <v>46006</v>
      </c>
      <c r="C773" s="1">
        <v>2</v>
      </c>
      <c r="D773" s="1" t="s">
        <v>838</v>
      </c>
      <c r="E773" s="1" t="s">
        <v>76</v>
      </c>
      <c r="F773" s="8" t="s">
        <v>76</v>
      </c>
      <c r="G773" s="6">
        <v>100000</v>
      </c>
      <c r="H773" s="6"/>
      <c r="I773" s="6"/>
      <c r="J773" s="7"/>
      <c r="K773" s="73"/>
      <c r="L773" s="73"/>
      <c r="M773" s="73"/>
      <c r="N773" s="73"/>
      <c r="O773" s="3" t="str">
        <f>IF(C773="","",IF(C773=5,IFERROR(INDEX(code_Note1!$F$13:$F$16,MATCH(E773,code_Note1!$E$13:$E$16,0)),INDEX(code_Note1!$F$16,1)),IF(B773&lt;code_Note1!$D$21,"No",IFERROR(VLOOKUP(C773,code_Note1!$D$3:$G$8,3,FALSE),""))))</f>
        <v>No</v>
      </c>
      <c r="P773" s="3" t="s">
        <v>831</v>
      </c>
    </row>
    <row r="774" spans="1:16" ht="19.5" customHeight="1">
      <c r="A774" s="2" t="s">
        <v>857</v>
      </c>
      <c r="B774" s="38">
        <v>46006</v>
      </c>
      <c r="C774" s="1">
        <v>1</v>
      </c>
      <c r="D774" s="1" t="s">
        <v>824</v>
      </c>
      <c r="E774" s="1" t="s">
        <v>293</v>
      </c>
      <c r="F774" s="8" t="s">
        <v>609</v>
      </c>
      <c r="G774" s="6">
        <v>1600000</v>
      </c>
      <c r="H774" s="6"/>
      <c r="I774" s="6"/>
      <c r="J774" s="7"/>
      <c r="K774" s="73"/>
      <c r="L774" s="73"/>
      <c r="M774" s="73"/>
      <c r="N774" s="73"/>
      <c r="O774" s="3" t="str">
        <f>IF(C774="","",IF(C774=5,IFERROR(INDEX(code_Note1!$F$13:$F$16,MATCH(E774,code_Note1!$E$13:$E$16,0)),INDEX(code_Note1!$F$16,1)),IF(B774&lt;code_Note1!$D$21,"No",IFERROR(VLOOKUP(C774,code_Note1!$D$3:$G$8,3,FALSE),""))))</f>
        <v>Yes</v>
      </c>
      <c r="P774" s="3" t="s">
        <v>832</v>
      </c>
    </row>
    <row r="775" spans="1:16" ht="19.5" customHeight="1">
      <c r="A775" s="2" t="s">
        <v>854</v>
      </c>
      <c r="B775" s="38">
        <v>46006</v>
      </c>
      <c r="C775" s="1">
        <v>2</v>
      </c>
      <c r="D775" s="1" t="s">
        <v>838</v>
      </c>
      <c r="E775" s="1" t="s">
        <v>25</v>
      </c>
      <c r="F775" s="8" t="s">
        <v>119</v>
      </c>
      <c r="G775" s="6">
        <v>4900000</v>
      </c>
      <c r="H775" s="6"/>
      <c r="I775" s="6"/>
      <c r="J775" s="7"/>
      <c r="K775" s="73"/>
      <c r="L775" s="73"/>
      <c r="M775" s="73"/>
      <c r="N775" s="73"/>
      <c r="O775" s="3" t="str">
        <f>IF(C775="","",IF(C775=5,IFERROR(INDEX(code_Note1!$F$13:$F$16,MATCH(E775,code_Note1!$E$13:$E$16,0)),INDEX(code_Note1!$F$16,1)),IF(B775&lt;code_Note1!$D$21,"No",IFERROR(VLOOKUP(C775,code_Note1!$D$3:$G$8,3,FALSE),""))))</f>
        <v>No</v>
      </c>
      <c r="P775" s="3" t="s">
        <v>831</v>
      </c>
    </row>
    <row r="776" spans="1:16" ht="19.5" customHeight="1">
      <c r="A776" s="2" t="s">
        <v>854</v>
      </c>
      <c r="B776" s="38">
        <v>46006</v>
      </c>
      <c r="C776" s="1">
        <v>2</v>
      </c>
      <c r="D776" s="1" t="s">
        <v>838</v>
      </c>
      <c r="E776" s="1" t="s">
        <v>166</v>
      </c>
      <c r="F776" s="8" t="s">
        <v>581</v>
      </c>
      <c r="G776" s="6">
        <v>2000000</v>
      </c>
      <c r="H776" s="6"/>
      <c r="I776" s="6"/>
      <c r="J776" s="7"/>
      <c r="K776" s="73"/>
      <c r="L776" s="73"/>
      <c r="M776" s="73"/>
      <c r="N776" s="73"/>
      <c r="O776" s="3" t="str">
        <f>IF(C776="","",IF(C776=5,IFERROR(INDEX(code_Note1!$F$13:$F$16,MATCH(E776,code_Note1!$E$13:$E$16,0)),INDEX(code_Note1!$F$16,1)),IF(B776&lt;code_Note1!$D$21,"No",IFERROR(VLOOKUP(C776,code_Note1!$D$3:$G$8,3,FALSE),""))))</f>
        <v>No</v>
      </c>
      <c r="P776" s="3" t="s">
        <v>831</v>
      </c>
    </row>
    <row r="777" spans="1:16" ht="19.5" customHeight="1">
      <c r="A777" s="2" t="s">
        <v>854</v>
      </c>
      <c r="B777" s="38">
        <v>46006</v>
      </c>
      <c r="C777" s="1">
        <v>2</v>
      </c>
      <c r="D777" s="1" t="s">
        <v>838</v>
      </c>
      <c r="E777" s="1" t="s">
        <v>82</v>
      </c>
      <c r="F777" s="8" t="s">
        <v>82</v>
      </c>
      <c r="G777" s="6">
        <v>2580000</v>
      </c>
      <c r="H777" s="6"/>
      <c r="I777" s="6"/>
      <c r="J777" s="7"/>
      <c r="K777" s="73"/>
      <c r="L777" s="73"/>
      <c r="M777" s="73"/>
      <c r="N777" s="73"/>
      <c r="O777" s="3" t="str">
        <f>IF(C777="","",IF(C777=5,IFERROR(INDEX(code_Note1!$F$13:$F$16,MATCH(E777,code_Note1!$E$13:$E$16,0)),INDEX(code_Note1!$F$16,1)),IF(B777&lt;code_Note1!$D$21,"No",IFERROR(VLOOKUP(C777,code_Note1!$D$3:$G$8,3,FALSE),""))))</f>
        <v>No</v>
      </c>
      <c r="P777" s="3" t="s">
        <v>831</v>
      </c>
    </row>
    <row r="778" spans="1:16" ht="19.5" customHeight="1">
      <c r="A778" s="2" t="s">
        <v>854</v>
      </c>
      <c r="B778" s="38">
        <v>46008</v>
      </c>
      <c r="C778" s="1">
        <v>2</v>
      </c>
      <c r="D778" s="1" t="s">
        <v>838</v>
      </c>
      <c r="E778" s="1" t="s">
        <v>382</v>
      </c>
      <c r="F778" s="8" t="s">
        <v>610</v>
      </c>
      <c r="G778" s="6">
        <v>0</v>
      </c>
      <c r="H778" s="6">
        <v>240</v>
      </c>
      <c r="I778" s="6"/>
      <c r="J778" s="7"/>
      <c r="K778" s="73"/>
      <c r="L778" s="73"/>
      <c r="M778" s="73"/>
      <c r="N778" s="73"/>
      <c r="O778" s="3" t="str">
        <f>IF(C778="","",IF(C778=5,IFERROR(INDEX(code_Note1!$F$13:$F$16,MATCH(E778,code_Note1!$E$13:$E$16,0)),INDEX(code_Note1!$F$16,1)),IF(B778&lt;code_Note1!$D$21,"No",IFERROR(VLOOKUP(C778,code_Note1!$D$3:$G$8,3,FALSE),""))))</f>
        <v>No</v>
      </c>
      <c r="P778" s="3" t="s">
        <v>831</v>
      </c>
    </row>
    <row r="779" spans="1:16" ht="19.5" customHeight="1">
      <c r="A779" s="2" t="s">
        <v>854</v>
      </c>
      <c r="B779" s="38">
        <v>46010</v>
      </c>
      <c r="C779" s="1">
        <v>2</v>
      </c>
      <c r="D779" s="1" t="s">
        <v>838</v>
      </c>
      <c r="E779" s="1" t="s">
        <v>46</v>
      </c>
      <c r="F779" s="8" t="s">
        <v>130</v>
      </c>
      <c r="G779" s="6">
        <v>4400000</v>
      </c>
      <c r="H779" s="6"/>
      <c r="I779" s="6"/>
      <c r="J779" s="7"/>
      <c r="K779" s="73"/>
      <c r="L779" s="73"/>
      <c r="M779" s="73"/>
      <c r="N779" s="73"/>
      <c r="O779" s="3" t="str">
        <f>IF(C779="","",IF(C779=5,IFERROR(INDEX(code_Note1!$F$13:$F$16,MATCH(E779,code_Note1!$E$13:$E$16,0)),INDEX(code_Note1!$F$16,1)),IF(B779&lt;code_Note1!$D$21,"No",IFERROR(VLOOKUP(C779,code_Note1!$D$3:$G$8,3,FALSE),""))))</f>
        <v>No</v>
      </c>
      <c r="P779" s="3" t="s">
        <v>831</v>
      </c>
    </row>
    <row r="780" spans="1:16" ht="19.5" customHeight="1">
      <c r="A780" s="2" t="s">
        <v>854</v>
      </c>
      <c r="B780" s="38">
        <v>46010</v>
      </c>
      <c r="C780" s="1">
        <v>2</v>
      </c>
      <c r="D780" s="1" t="s">
        <v>838</v>
      </c>
      <c r="E780" s="1" t="s">
        <v>166</v>
      </c>
      <c r="F780" s="8" t="s">
        <v>272</v>
      </c>
      <c r="G780" s="6">
        <v>2000000</v>
      </c>
      <c r="H780" s="6"/>
      <c r="I780" s="6"/>
      <c r="J780" s="7"/>
      <c r="K780" s="73"/>
      <c r="L780" s="73"/>
      <c r="M780" s="73"/>
      <c r="N780" s="73"/>
      <c r="O780" s="3" t="str">
        <f>IF(C780="","",IF(C780=5,IFERROR(INDEX(code_Note1!$F$13:$F$16,MATCH(E780,code_Note1!$E$13:$E$16,0)),INDEX(code_Note1!$F$16,1)),IF(B780&lt;code_Note1!$D$21,"No",IFERROR(VLOOKUP(C780,code_Note1!$D$3:$G$8,3,FALSE),""))))</f>
        <v>No</v>
      </c>
      <c r="P780" s="3" t="s">
        <v>831</v>
      </c>
    </row>
    <row r="781" spans="1:16" ht="19.5" customHeight="1">
      <c r="A781" s="2" t="s">
        <v>854</v>
      </c>
      <c r="B781" s="38">
        <v>46010</v>
      </c>
      <c r="C781" s="1">
        <v>2</v>
      </c>
      <c r="D781" s="1" t="s">
        <v>838</v>
      </c>
      <c r="E781" s="1" t="s">
        <v>42</v>
      </c>
      <c r="F781" s="8" t="s">
        <v>42</v>
      </c>
      <c r="G781" s="6">
        <v>3100000</v>
      </c>
      <c r="H781" s="6"/>
      <c r="I781" s="6"/>
      <c r="J781" s="7"/>
      <c r="K781" s="73"/>
      <c r="L781" s="73"/>
      <c r="M781" s="73"/>
      <c r="N781" s="73"/>
      <c r="O781" s="3" t="str">
        <f>IF(C781="","",IF(C781=5,IFERROR(INDEX(code_Note1!$F$13:$F$16,MATCH(E781,code_Note1!$E$13:$E$16,0)),INDEX(code_Note1!$F$16,1)),IF(B781&lt;code_Note1!$D$21,"No",IFERROR(VLOOKUP(C781,code_Note1!$D$3:$G$8,3,FALSE),""))))</f>
        <v>No</v>
      </c>
      <c r="P781" s="3" t="s">
        <v>831</v>
      </c>
    </row>
    <row r="782" spans="1:16" ht="19.5" customHeight="1">
      <c r="A782" s="2" t="s">
        <v>854</v>
      </c>
      <c r="B782" s="38">
        <v>46014</v>
      </c>
      <c r="C782" s="1">
        <v>2</v>
      </c>
      <c r="D782" s="1" t="s">
        <v>838</v>
      </c>
      <c r="E782" s="1" t="s">
        <v>51</v>
      </c>
      <c r="F782" s="8" t="s">
        <v>302</v>
      </c>
      <c r="G782" s="6">
        <v>585000</v>
      </c>
      <c r="H782" s="6"/>
      <c r="I782" s="6"/>
      <c r="J782" s="7"/>
      <c r="K782" s="73"/>
      <c r="L782" s="73"/>
      <c r="M782" s="73"/>
      <c r="N782" s="73"/>
      <c r="O782" s="3" t="str">
        <f>IF(C782="","",IF(C782=5,IFERROR(INDEX(code_Note1!$F$13:$F$16,MATCH(E782,code_Note1!$E$13:$E$16,0)),INDEX(code_Note1!$F$16,1)),IF(B782&lt;code_Note1!$D$21,"No",IFERROR(VLOOKUP(C782,code_Note1!$D$3:$G$8,3,FALSE),""))))</f>
        <v>No</v>
      </c>
      <c r="P782" s="3" t="s">
        <v>831</v>
      </c>
    </row>
    <row r="783" spans="1:16" ht="19.5" customHeight="1">
      <c r="A783" s="2" t="s">
        <v>854</v>
      </c>
      <c r="B783" s="38">
        <v>46014</v>
      </c>
      <c r="C783" s="1">
        <v>2</v>
      </c>
      <c r="D783" s="1" t="s">
        <v>838</v>
      </c>
      <c r="E783" s="1" t="s">
        <v>76</v>
      </c>
      <c r="F783" s="8" t="s">
        <v>611</v>
      </c>
      <c r="G783" s="6">
        <v>1500000</v>
      </c>
      <c r="H783" s="6"/>
      <c r="I783" s="6"/>
      <c r="J783" s="7"/>
      <c r="K783" s="73"/>
      <c r="L783" s="73"/>
      <c r="M783" s="73"/>
      <c r="N783" s="73"/>
      <c r="O783" s="3" t="str">
        <f>IF(C783="","",IF(C783=5,IFERROR(INDEX(code_Note1!$F$13:$F$16,MATCH(E783,code_Note1!$E$13:$E$16,0)),INDEX(code_Note1!$F$16,1)),IF(B783&lt;code_Note1!$D$21,"No",IFERROR(VLOOKUP(C783,code_Note1!$D$3:$G$8,3,FALSE),""))))</f>
        <v>No</v>
      </c>
      <c r="P783" s="3" t="s">
        <v>831</v>
      </c>
    </row>
    <row r="784" spans="1:16" ht="19.5" customHeight="1">
      <c r="A784" s="2" t="s">
        <v>854</v>
      </c>
      <c r="B784" s="38">
        <v>46014</v>
      </c>
      <c r="C784" s="1">
        <v>2</v>
      </c>
      <c r="D784" s="1" t="s">
        <v>838</v>
      </c>
      <c r="E784" s="1" t="s">
        <v>21</v>
      </c>
      <c r="F784" s="8" t="s">
        <v>612</v>
      </c>
      <c r="G784" s="6">
        <v>150000</v>
      </c>
      <c r="H784" s="6"/>
      <c r="I784" s="6"/>
      <c r="J784" s="7"/>
      <c r="K784" s="73"/>
      <c r="L784" s="73"/>
      <c r="M784" s="73"/>
      <c r="N784" s="73"/>
      <c r="O784" s="3" t="str">
        <f>IF(C784="","",IF(C784=5,IFERROR(INDEX(code_Note1!$F$13:$F$16,MATCH(E784,code_Note1!$E$13:$E$16,0)),INDEX(code_Note1!$F$16,1)),IF(B784&lt;code_Note1!$D$21,"No",IFERROR(VLOOKUP(C784,code_Note1!$D$3:$G$8,3,FALSE),""))))</f>
        <v>No</v>
      </c>
      <c r="P784" s="3" t="s">
        <v>831</v>
      </c>
    </row>
    <row r="785" spans="1:16" ht="19.5" customHeight="1">
      <c r="A785" s="2" t="s">
        <v>857</v>
      </c>
      <c r="B785" s="38">
        <v>46017</v>
      </c>
      <c r="C785" s="1">
        <v>1</v>
      </c>
      <c r="D785" s="1" t="s">
        <v>824</v>
      </c>
      <c r="E785" s="1" t="s">
        <v>614</v>
      </c>
      <c r="F785" s="8" t="s">
        <v>613</v>
      </c>
      <c r="G785" s="6">
        <v>50340</v>
      </c>
      <c r="H785" s="6"/>
      <c r="I785" s="6"/>
      <c r="J785" s="7"/>
      <c r="K785" s="73"/>
      <c r="L785" s="73"/>
      <c r="M785" s="73"/>
      <c r="N785" s="73"/>
      <c r="O785" s="3" t="str">
        <f>IF(C785="","",IF(C785=5,IFERROR(INDEX(code_Note1!$F$13:$F$16,MATCH(E785,code_Note1!$E$13:$E$16,0)),INDEX(code_Note1!$F$16,1)),IF(B785&lt;code_Note1!$D$21,"No",IFERROR(VLOOKUP(C785,code_Note1!$D$3:$G$8,3,FALSE),""))))</f>
        <v>Yes</v>
      </c>
      <c r="P785" s="3" t="s">
        <v>832</v>
      </c>
    </row>
    <row r="786" spans="1:16" ht="19.5" customHeight="1">
      <c r="A786" s="2" t="s">
        <v>854</v>
      </c>
      <c r="B786" s="38">
        <v>46017</v>
      </c>
      <c r="C786" s="1">
        <v>2</v>
      </c>
      <c r="D786" s="1" t="s">
        <v>838</v>
      </c>
      <c r="E786" s="1" t="s">
        <v>46</v>
      </c>
      <c r="F786" s="8" t="s">
        <v>615</v>
      </c>
      <c r="G786" s="6">
        <v>2450000</v>
      </c>
      <c r="H786" s="6"/>
      <c r="I786" s="6"/>
      <c r="J786" s="7"/>
      <c r="K786" s="73"/>
      <c r="L786" s="73"/>
      <c r="M786" s="73"/>
      <c r="N786" s="73"/>
      <c r="O786" s="3" t="str">
        <f>IF(C786="","",IF(C786=5,IFERROR(INDEX(code_Note1!$F$13:$F$16,MATCH(E786,code_Note1!$E$13:$E$16,0)),INDEX(code_Note1!$F$16,1)),IF(B786&lt;code_Note1!$D$21,"No",IFERROR(VLOOKUP(C786,code_Note1!$D$3:$G$8,3,FALSE),""))))</f>
        <v>No</v>
      </c>
      <c r="P786" s="3" t="s">
        <v>831</v>
      </c>
    </row>
    <row r="787" spans="1:16" ht="19.5" customHeight="1">
      <c r="A787" s="2" t="s">
        <v>854</v>
      </c>
      <c r="B787" s="38">
        <v>46017</v>
      </c>
      <c r="C787" s="1">
        <v>2</v>
      </c>
      <c r="D787" s="1" t="s">
        <v>838</v>
      </c>
      <c r="E787" s="1" t="s">
        <v>21</v>
      </c>
      <c r="F787" s="8" t="s">
        <v>616</v>
      </c>
      <c r="G787" s="6">
        <v>0</v>
      </c>
      <c r="H787" s="6">
        <v>2700</v>
      </c>
      <c r="I787" s="6"/>
      <c r="J787" s="7"/>
      <c r="K787" s="73"/>
      <c r="L787" s="73"/>
      <c r="M787" s="73"/>
      <c r="N787" s="73"/>
      <c r="O787" s="3" t="str">
        <f>IF(C787="","",IF(C787=5,IFERROR(INDEX(code_Note1!$F$13:$F$16,MATCH(E787,code_Note1!$E$13:$E$16,0)),INDEX(code_Note1!$F$16,1)),IF(B787&lt;code_Note1!$D$21,"No",IFERROR(VLOOKUP(C787,code_Note1!$D$3:$G$8,3,FALSE),""))))</f>
        <v>No</v>
      </c>
      <c r="P787" s="3" t="s">
        <v>831</v>
      </c>
    </row>
    <row r="788" spans="1:16" ht="19.5" customHeight="1">
      <c r="A788" s="2" t="s">
        <v>857</v>
      </c>
      <c r="B788" s="38">
        <v>46018</v>
      </c>
      <c r="C788" s="1">
        <v>1</v>
      </c>
      <c r="D788" s="1" t="s">
        <v>824</v>
      </c>
      <c r="E788" s="27" t="s">
        <v>62</v>
      </c>
      <c r="F788" s="8" t="s">
        <v>617</v>
      </c>
      <c r="G788" s="6">
        <v>2875000</v>
      </c>
      <c r="H788" s="6"/>
      <c r="I788" s="6"/>
      <c r="J788" s="7"/>
      <c r="K788" s="73"/>
      <c r="L788" s="73"/>
      <c r="M788" s="73"/>
      <c r="N788" s="73"/>
      <c r="O788" s="3" t="str">
        <f>IF(C788="","",IF(C788=5,IFERROR(INDEX(code_Note1!$F$13:$F$16,MATCH(E788,code_Note1!$E$13:$E$16,0)),INDEX(code_Note1!$F$16,1)),IF(B788&lt;code_Note1!$D$21,"No",IFERROR(VLOOKUP(C788,code_Note1!$D$3:$G$8,3,FALSE),""))))</f>
        <v>Yes</v>
      </c>
      <c r="P788" s="3" t="s">
        <v>832</v>
      </c>
    </row>
    <row r="789" spans="1:16" ht="19.5" customHeight="1">
      <c r="A789" s="2" t="s">
        <v>857</v>
      </c>
      <c r="B789" s="38">
        <v>46020</v>
      </c>
      <c r="C789" s="1">
        <v>3</v>
      </c>
      <c r="D789" s="1" t="s">
        <v>823</v>
      </c>
      <c r="E789" s="1" t="s">
        <v>44</v>
      </c>
      <c r="F789" s="8" t="s">
        <v>398</v>
      </c>
      <c r="G789" s="6">
        <v>117000</v>
      </c>
      <c r="H789" s="6"/>
      <c r="I789" s="6"/>
      <c r="J789" s="7"/>
      <c r="K789" s="73"/>
      <c r="L789" s="73"/>
      <c r="M789" s="73"/>
      <c r="N789" s="73"/>
      <c r="O789" s="3" t="str">
        <f>IF(C789="","",IF(C789=5,IFERROR(INDEX(code_Note1!$F$13:$F$16,MATCH(E789,code_Note1!$E$13:$E$16,0)),INDEX(code_Note1!$F$16,1)),IF(B789&lt;code_Note1!$D$21,"No",IFERROR(VLOOKUP(C789,code_Note1!$D$3:$G$8,3,FALSE),""))))</f>
        <v>yes</v>
      </c>
      <c r="P789" s="3" t="s">
        <v>832</v>
      </c>
    </row>
    <row r="790" spans="1:16" ht="19.5" customHeight="1">
      <c r="A790" s="2" t="s">
        <v>854</v>
      </c>
      <c r="B790" s="38">
        <v>46020</v>
      </c>
      <c r="C790" s="1">
        <v>2</v>
      </c>
      <c r="D790" s="1" t="s">
        <v>838</v>
      </c>
      <c r="E790" s="1" t="s">
        <v>46</v>
      </c>
      <c r="F790" s="8" t="s">
        <v>130</v>
      </c>
      <c r="G790" s="6">
        <v>4900000</v>
      </c>
      <c r="H790" s="6"/>
      <c r="I790" s="6"/>
      <c r="J790" s="7"/>
      <c r="K790" s="73"/>
      <c r="L790" s="73"/>
      <c r="M790" s="73"/>
      <c r="N790" s="73"/>
      <c r="O790" s="3" t="str">
        <f>IF(C790="","",IF(C790=5,IFERROR(INDEX(code_Note1!$F$13:$F$16,MATCH(E790,code_Note1!$E$13:$E$16,0)),INDEX(code_Note1!$F$16,1)),IF(B790&lt;code_Note1!$D$21,"No",IFERROR(VLOOKUP(C790,code_Note1!$D$3:$G$8,3,FALSE),""))))</f>
        <v>No</v>
      </c>
      <c r="P790" s="3" t="s">
        <v>831</v>
      </c>
    </row>
    <row r="791" spans="1:16" ht="19.5" customHeight="1">
      <c r="A791" s="2" t="s">
        <v>854</v>
      </c>
      <c r="B791" s="38">
        <v>46021</v>
      </c>
      <c r="C791" s="1" t="s">
        <v>844</v>
      </c>
      <c r="D791" s="1" t="s">
        <v>826</v>
      </c>
      <c r="E791" s="28" t="s">
        <v>281</v>
      </c>
      <c r="F791" s="8" t="s">
        <v>507</v>
      </c>
      <c r="G791" s="6">
        <v>0</v>
      </c>
      <c r="H791" s="6">
        <v>5000</v>
      </c>
      <c r="I791" s="6"/>
      <c r="J791" s="7"/>
      <c r="K791" s="73"/>
      <c r="L791" s="73"/>
      <c r="M791" s="73"/>
      <c r="N791" s="73"/>
      <c r="O791" s="3" t="str">
        <f>IF(C791="","",IF(C791=5,IFERROR(INDEX(code_Note1!$F$13:$F$16,MATCH(E791,code_Note1!$E$13:$E$16,0)),INDEX(code_Note1!$F$16,1)),IF(B791&lt;code_Note1!$D$21,"No",IFERROR(VLOOKUP(C791,code_Note1!$D$3:$G$8,3,FALSE),""))))</f>
        <v>No</v>
      </c>
      <c r="P791" s="3" t="s">
        <v>833</v>
      </c>
    </row>
    <row r="792" spans="1:16" ht="19.5" customHeight="1">
      <c r="A792" s="2" t="s">
        <v>854</v>
      </c>
      <c r="B792" s="38">
        <v>46022</v>
      </c>
      <c r="C792" s="1">
        <v>2</v>
      </c>
      <c r="D792" s="1" t="s">
        <v>838</v>
      </c>
      <c r="E792" s="1" t="s">
        <v>21</v>
      </c>
      <c r="F792" s="8" t="s">
        <v>618</v>
      </c>
      <c r="G792" s="6">
        <v>0</v>
      </c>
      <c r="H792" s="6">
        <v>645</v>
      </c>
      <c r="I792" s="6"/>
      <c r="J792" s="7"/>
      <c r="K792" s="73"/>
      <c r="L792" s="73"/>
      <c r="M792" s="73"/>
      <c r="N792" s="73"/>
      <c r="O792" s="3" t="str">
        <f>IF(C792="","",IF(C792=5,IFERROR(INDEX(code_Note1!$F$13:$F$16,MATCH(E792,code_Note1!$E$13:$E$16,0)),INDEX(code_Note1!$F$16,1)),IF(B792&lt;code_Note1!$D$21,"No",IFERROR(VLOOKUP(C792,code_Note1!$D$3:$G$8,3,FALSE),""))))</f>
        <v>No</v>
      </c>
      <c r="P792" s="3" t="s">
        <v>831</v>
      </c>
    </row>
    <row r="793" spans="1:16" ht="19.5" customHeight="1">
      <c r="A793" s="2" t="s">
        <v>857</v>
      </c>
      <c r="B793" s="38">
        <v>46024</v>
      </c>
      <c r="C793" s="1">
        <v>1</v>
      </c>
      <c r="D793" s="1" t="s">
        <v>824</v>
      </c>
      <c r="E793" s="37" t="s">
        <v>285</v>
      </c>
      <c r="F793" s="8" t="s">
        <v>619</v>
      </c>
      <c r="G793" s="6">
        <v>341851</v>
      </c>
      <c r="H793" s="6"/>
      <c r="I793" s="6"/>
      <c r="J793" s="7"/>
      <c r="K793" s="73"/>
      <c r="L793" s="73"/>
      <c r="M793" s="73"/>
      <c r="N793" s="73"/>
      <c r="O793" s="3" t="str">
        <f>IF(C793="","",IF(C793=5,IFERROR(INDEX(code_Note1!$F$13:$F$16,MATCH(E793,code_Note1!$E$13:$E$16,0)),INDEX(code_Note1!$F$16,1)),IF(B793&lt;code_Note1!$D$21,"No",IFERROR(VLOOKUP(C793,code_Note1!$D$3:$G$8,3,FALSE),""))))</f>
        <v>Yes</v>
      </c>
      <c r="P793" s="3" t="s">
        <v>832</v>
      </c>
    </row>
    <row r="794" spans="1:16" ht="19.5" customHeight="1">
      <c r="A794" s="2" t="s">
        <v>857</v>
      </c>
      <c r="B794" s="38">
        <v>46024</v>
      </c>
      <c r="C794" s="1">
        <v>1</v>
      </c>
      <c r="D794" s="1" t="s">
        <v>824</v>
      </c>
      <c r="E794" s="37" t="s">
        <v>285</v>
      </c>
      <c r="F794" s="8" t="s">
        <v>619</v>
      </c>
      <c r="G794" s="6">
        <v>194458</v>
      </c>
      <c r="H794" s="6"/>
      <c r="I794" s="6"/>
      <c r="J794" s="7"/>
      <c r="K794" s="73"/>
      <c r="L794" s="73"/>
      <c r="M794" s="73"/>
      <c r="N794" s="73"/>
      <c r="O794" s="3" t="str">
        <f>IF(C794="","",IF(C794=5,IFERROR(INDEX(code_Note1!$F$13:$F$16,MATCH(E794,code_Note1!$E$13:$E$16,0)),INDEX(code_Note1!$F$16,1)),IF(B794&lt;code_Note1!$D$21,"No",IFERROR(VLOOKUP(C794,code_Note1!$D$3:$G$8,3,FALSE),""))))</f>
        <v>Yes</v>
      </c>
      <c r="P794" s="3" t="s">
        <v>832</v>
      </c>
    </row>
    <row r="795" spans="1:16" ht="19.5" customHeight="1">
      <c r="A795" s="2" t="s">
        <v>854</v>
      </c>
      <c r="B795" s="38">
        <v>46025</v>
      </c>
      <c r="C795" s="1">
        <v>2</v>
      </c>
      <c r="D795" s="1" t="s">
        <v>838</v>
      </c>
      <c r="E795" s="1" t="s">
        <v>76</v>
      </c>
      <c r="F795" s="8" t="s">
        <v>620</v>
      </c>
      <c r="G795" s="6">
        <v>100000</v>
      </c>
      <c r="H795" s="6"/>
      <c r="I795" s="6"/>
      <c r="J795" s="7"/>
      <c r="K795" s="73"/>
      <c r="L795" s="73"/>
      <c r="M795" s="73"/>
      <c r="N795" s="73"/>
      <c r="O795" s="3" t="str">
        <f>IF(C795="","",IF(C795=5,IFERROR(INDEX(code_Note1!$F$13:$F$16,MATCH(E795,code_Note1!$E$13:$E$16,0)),INDEX(code_Note1!$F$16,1)),IF(B795&lt;code_Note1!$D$21,"No",IFERROR(VLOOKUP(C795,code_Note1!$D$3:$G$8,3,FALSE),""))))</f>
        <v>No</v>
      </c>
      <c r="P795" s="3" t="s">
        <v>831</v>
      </c>
    </row>
    <row r="796" spans="1:16" ht="19.5" customHeight="1">
      <c r="A796" s="2" t="s">
        <v>857</v>
      </c>
      <c r="B796" s="38">
        <v>46025</v>
      </c>
      <c r="C796" s="1">
        <v>1</v>
      </c>
      <c r="D796" s="1" t="s">
        <v>824</v>
      </c>
      <c r="E796" s="37" t="s">
        <v>285</v>
      </c>
      <c r="F796" s="8" t="s">
        <v>621</v>
      </c>
      <c r="G796" s="6">
        <v>10989383</v>
      </c>
      <c r="H796" s="6"/>
      <c r="I796" s="6"/>
      <c r="J796" s="7"/>
      <c r="K796" s="73"/>
      <c r="L796" s="73"/>
      <c r="M796" s="73"/>
      <c r="N796" s="73"/>
      <c r="O796" s="3" t="str">
        <f>IF(C796="","",IF(C796=5,IFERROR(INDEX(code_Note1!$F$13:$F$16,MATCH(E796,code_Note1!$E$13:$E$16,0)),INDEX(code_Note1!$F$16,1)),IF(B796&lt;code_Note1!$D$21,"No",IFERROR(VLOOKUP(C796,code_Note1!$D$3:$G$8,3,FALSE),""))))</f>
        <v>Yes</v>
      </c>
      <c r="P796" s="3" t="s">
        <v>832</v>
      </c>
    </row>
    <row r="797" spans="1:16" ht="19.5" customHeight="1">
      <c r="A797" s="2" t="s">
        <v>854</v>
      </c>
      <c r="B797" s="38">
        <v>46025</v>
      </c>
      <c r="C797" s="1">
        <v>2</v>
      </c>
      <c r="D797" s="1" t="s">
        <v>838</v>
      </c>
      <c r="E797" s="1" t="s">
        <v>30</v>
      </c>
      <c r="F797" s="8" t="s">
        <v>622</v>
      </c>
      <c r="G797" s="6">
        <v>200000</v>
      </c>
      <c r="H797" s="6"/>
      <c r="I797" s="6"/>
      <c r="J797" s="7"/>
      <c r="K797" s="73"/>
      <c r="L797" s="73"/>
      <c r="M797" s="73"/>
      <c r="N797" s="73"/>
      <c r="O797" s="3" t="str">
        <f>IF(C797="","",IF(C797=5,IFERROR(INDEX(code_Note1!$F$13:$F$16,MATCH(E797,code_Note1!$E$13:$E$16,0)),INDEX(code_Note1!$F$16,1)),IF(B797&lt;code_Note1!$D$21,"No",IFERROR(VLOOKUP(C797,code_Note1!$D$3:$G$8,3,FALSE),""))))</f>
        <v>No</v>
      </c>
      <c r="P797" s="3" t="s">
        <v>831</v>
      </c>
    </row>
    <row r="798" spans="1:16" ht="19.5" customHeight="1">
      <c r="A798" s="2" t="s">
        <v>854</v>
      </c>
      <c r="B798" s="38">
        <v>46025</v>
      </c>
      <c r="C798" s="1">
        <v>2</v>
      </c>
      <c r="D798" s="1" t="s">
        <v>838</v>
      </c>
      <c r="E798" s="1" t="s">
        <v>30</v>
      </c>
      <c r="F798" s="8" t="s">
        <v>623</v>
      </c>
      <c r="G798" s="6">
        <v>150000</v>
      </c>
      <c r="H798" s="6"/>
      <c r="I798" s="6"/>
      <c r="J798" s="7"/>
      <c r="K798" s="73"/>
      <c r="L798" s="73"/>
      <c r="M798" s="73"/>
      <c r="N798" s="73"/>
      <c r="O798" s="3" t="str">
        <f>IF(C798="","",IF(C798=5,IFERROR(INDEX(code_Note1!$F$13:$F$16,MATCH(E798,code_Note1!$E$13:$E$16,0)),INDEX(code_Note1!$F$16,1)),IF(B798&lt;code_Note1!$D$21,"No",IFERROR(VLOOKUP(C798,code_Note1!$D$3:$G$8,3,FALSE),""))))</f>
        <v>No</v>
      </c>
      <c r="P798" s="3" t="s">
        <v>831</v>
      </c>
    </row>
    <row r="799" spans="1:16" ht="19.5" customHeight="1">
      <c r="A799" s="2" t="s">
        <v>857</v>
      </c>
      <c r="B799" s="38">
        <v>46027</v>
      </c>
      <c r="C799" s="1">
        <v>5</v>
      </c>
      <c r="D799" s="1" t="s">
        <v>841</v>
      </c>
      <c r="E799" s="28" t="s">
        <v>549</v>
      </c>
      <c r="F799" s="8" t="s">
        <v>549</v>
      </c>
      <c r="G799" s="6">
        <v>0</v>
      </c>
      <c r="H799" s="6"/>
      <c r="I799" s="6"/>
      <c r="J799" s="7"/>
      <c r="K799" s="73">
        <v>45024000</v>
      </c>
      <c r="L799" s="73"/>
      <c r="M799" s="73"/>
      <c r="N799" s="73"/>
      <c r="O799" s="3" t="str">
        <f>IF(C799="","",IF(C799=5,IFERROR(INDEX(code_Note1!$F$13:$F$16,MATCH(E799,code_Note1!$E$13:$E$16,0)),INDEX(code_Note1!$F$16,1)),IF(B799&lt;code_Note1!$D$21,"No",IFERROR(VLOOKUP(C799,code_Note1!$D$3:$G$8,3,FALSE),""))))</f>
        <v>Yes/No</v>
      </c>
      <c r="P799" s="3" t="s">
        <v>843</v>
      </c>
    </row>
    <row r="800" spans="1:16" ht="19.5" customHeight="1">
      <c r="A800" s="2" t="s">
        <v>854</v>
      </c>
      <c r="B800" s="38">
        <v>46027</v>
      </c>
      <c r="C800" s="1" t="s">
        <v>844</v>
      </c>
      <c r="D800" s="1" t="s">
        <v>826</v>
      </c>
      <c r="E800" s="28" t="s">
        <v>130</v>
      </c>
      <c r="F800" s="8" t="s">
        <v>624</v>
      </c>
      <c r="G800" s="6">
        <v>1000000</v>
      </c>
      <c r="H800" s="6"/>
      <c r="I800" s="6"/>
      <c r="J800" s="7"/>
      <c r="K800" s="73"/>
      <c r="L800" s="73"/>
      <c r="M800" s="73"/>
      <c r="N800" s="73"/>
      <c r="O800" s="3" t="str">
        <f>IF(C800="","",IF(C800=5,IFERROR(INDEX(code_Note1!$F$13:$F$16,MATCH(E800,code_Note1!$E$13:$E$16,0)),INDEX(code_Note1!$F$16,1)),IF(B800&lt;code_Note1!$D$21,"No",IFERROR(VLOOKUP(C800,code_Note1!$D$3:$G$8,3,FALSE),""))))</f>
        <v>No</v>
      </c>
      <c r="P800" s="3" t="s">
        <v>833</v>
      </c>
    </row>
    <row r="801" spans="1:16" ht="19.5" customHeight="1">
      <c r="A801" s="2" t="s">
        <v>854</v>
      </c>
      <c r="B801" s="38">
        <v>46027</v>
      </c>
      <c r="C801" s="1" t="s">
        <v>844</v>
      </c>
      <c r="D801" s="1" t="s">
        <v>826</v>
      </c>
      <c r="E801" s="28" t="s">
        <v>130</v>
      </c>
      <c r="F801" s="8" t="s">
        <v>625</v>
      </c>
      <c r="G801" s="6">
        <v>200000</v>
      </c>
      <c r="H801" s="6"/>
      <c r="I801" s="6"/>
      <c r="J801" s="7"/>
      <c r="K801" s="73"/>
      <c r="L801" s="73"/>
      <c r="M801" s="73"/>
      <c r="N801" s="73"/>
      <c r="O801" s="3" t="str">
        <f>IF(C801="","",IF(C801=5,IFERROR(INDEX(code_Note1!$F$13:$F$16,MATCH(E801,code_Note1!$E$13:$E$16,0)),INDEX(code_Note1!$F$16,1)),IF(B801&lt;code_Note1!$D$21,"No",IFERROR(VLOOKUP(C801,code_Note1!$D$3:$G$8,3,FALSE),""))))</f>
        <v>No</v>
      </c>
      <c r="P801" s="3" t="s">
        <v>833</v>
      </c>
    </row>
    <row r="802" spans="1:16" ht="19.5" customHeight="1">
      <c r="A802" s="2" t="s">
        <v>854</v>
      </c>
      <c r="B802" s="38">
        <v>46028</v>
      </c>
      <c r="C802" s="1">
        <v>2</v>
      </c>
      <c r="D802" s="1" t="s">
        <v>838</v>
      </c>
      <c r="E802" s="1" t="s">
        <v>46</v>
      </c>
      <c r="F802" s="8" t="s">
        <v>130</v>
      </c>
      <c r="G802" s="6">
        <v>900000</v>
      </c>
      <c r="H802" s="6"/>
      <c r="I802" s="6"/>
      <c r="J802" s="7"/>
      <c r="K802" s="73"/>
      <c r="L802" s="73"/>
      <c r="M802" s="73"/>
      <c r="N802" s="73"/>
      <c r="O802" s="3" t="str">
        <f>IF(C802="","",IF(C802=5,IFERROR(INDEX(code_Note1!$F$13:$F$16,MATCH(E802,code_Note1!$E$13:$E$16,0)),INDEX(code_Note1!$F$16,1)),IF(B802&lt;code_Note1!$D$21,"No",IFERROR(VLOOKUP(C802,code_Note1!$D$3:$G$8,3,FALSE),""))))</f>
        <v>No</v>
      </c>
      <c r="P802" s="3" t="s">
        <v>831</v>
      </c>
    </row>
    <row r="803" spans="1:16" ht="19.5" customHeight="1">
      <c r="A803" s="2" t="s">
        <v>854</v>
      </c>
      <c r="B803" s="38">
        <v>46028</v>
      </c>
      <c r="C803" s="1">
        <v>2</v>
      </c>
      <c r="D803" s="1" t="s">
        <v>838</v>
      </c>
      <c r="E803" s="1" t="s">
        <v>21</v>
      </c>
      <c r="F803" s="8" t="s">
        <v>626</v>
      </c>
      <c r="G803" s="6">
        <v>100000</v>
      </c>
      <c r="H803" s="6"/>
      <c r="I803" s="6"/>
      <c r="J803" s="7"/>
      <c r="K803" s="73"/>
      <c r="L803" s="73"/>
      <c r="M803" s="73"/>
      <c r="N803" s="73"/>
      <c r="O803" s="3" t="str">
        <f>IF(C803="","",IF(C803=5,IFERROR(INDEX(code_Note1!$F$13:$F$16,MATCH(E803,code_Note1!$E$13:$E$16,0)),INDEX(code_Note1!$F$16,1)),IF(B803&lt;code_Note1!$D$21,"No",IFERROR(VLOOKUP(C803,code_Note1!$D$3:$G$8,3,FALSE),""))))</f>
        <v>No</v>
      </c>
      <c r="P803" s="3" t="s">
        <v>831</v>
      </c>
    </row>
    <row r="804" spans="1:16" ht="19.5" customHeight="1">
      <c r="A804" s="2" t="s">
        <v>854</v>
      </c>
      <c r="B804" s="38">
        <v>46028</v>
      </c>
      <c r="C804" s="1">
        <v>2</v>
      </c>
      <c r="D804" s="1" t="s">
        <v>838</v>
      </c>
      <c r="E804" s="1" t="s">
        <v>34</v>
      </c>
      <c r="F804" s="8" t="s">
        <v>34</v>
      </c>
      <c r="G804" s="6">
        <v>80000</v>
      </c>
      <c r="H804" s="6"/>
      <c r="I804" s="6"/>
      <c r="J804" s="7"/>
      <c r="K804" s="73"/>
      <c r="L804" s="73"/>
      <c r="M804" s="73"/>
      <c r="N804" s="73"/>
      <c r="O804" s="3" t="str">
        <f>IF(C804="","",IF(C804=5,IFERROR(INDEX(code_Note1!$F$13:$F$16,MATCH(E804,code_Note1!$E$13:$E$16,0)),INDEX(code_Note1!$F$16,1)),IF(B804&lt;code_Note1!$D$21,"No",IFERROR(VLOOKUP(C804,code_Note1!$D$3:$G$8,3,FALSE),""))))</f>
        <v>No</v>
      </c>
      <c r="P804" s="3" t="s">
        <v>831</v>
      </c>
    </row>
    <row r="805" spans="1:16" ht="19.5" customHeight="1">
      <c r="A805" s="2" t="s">
        <v>854</v>
      </c>
      <c r="B805" s="38">
        <v>46032</v>
      </c>
      <c r="C805" s="1">
        <v>2</v>
      </c>
      <c r="D805" s="1" t="s">
        <v>838</v>
      </c>
      <c r="E805" s="1" t="s">
        <v>46</v>
      </c>
      <c r="F805" s="8" t="s">
        <v>130</v>
      </c>
      <c r="G805" s="6">
        <v>300000</v>
      </c>
      <c r="H805" s="6"/>
      <c r="I805" s="6"/>
      <c r="J805" s="7"/>
      <c r="K805" s="73"/>
      <c r="L805" s="73"/>
      <c r="M805" s="73"/>
      <c r="N805" s="73"/>
      <c r="O805" s="3" t="str">
        <f>IF(C805="","",IF(C805=5,IFERROR(INDEX(code_Note1!$F$13:$F$16,MATCH(E805,code_Note1!$E$13:$E$16,0)),INDEX(code_Note1!$F$16,1)),IF(B805&lt;code_Note1!$D$21,"No",IFERROR(VLOOKUP(C805,code_Note1!$D$3:$G$8,3,FALSE),""))))</f>
        <v>No</v>
      </c>
      <c r="P805" s="3" t="s">
        <v>831</v>
      </c>
    </row>
    <row r="806" spans="1:16" ht="19.5" customHeight="1">
      <c r="A806" s="2" t="s">
        <v>854</v>
      </c>
      <c r="B806" s="38">
        <v>46032</v>
      </c>
      <c r="C806" s="1">
        <v>2</v>
      </c>
      <c r="D806" s="1" t="s">
        <v>838</v>
      </c>
      <c r="E806" s="1" t="s">
        <v>51</v>
      </c>
      <c r="F806" s="8" t="s">
        <v>302</v>
      </c>
      <c r="G806" s="6">
        <v>300000</v>
      </c>
      <c r="H806" s="6">
        <v>3440</v>
      </c>
      <c r="I806" s="6"/>
      <c r="J806" s="7"/>
      <c r="K806" s="73"/>
      <c r="L806" s="73"/>
      <c r="M806" s="73"/>
      <c r="N806" s="73"/>
      <c r="O806" s="3" t="str">
        <f>IF(C806="","",IF(C806=5,IFERROR(INDEX(code_Note1!$F$13:$F$16,MATCH(E806,code_Note1!$E$13:$E$16,0)),INDEX(code_Note1!$F$16,1)),IF(B806&lt;code_Note1!$D$21,"No",IFERROR(VLOOKUP(C806,code_Note1!$D$3:$G$8,3,FALSE),""))))</f>
        <v>No</v>
      </c>
      <c r="P806" s="3" t="s">
        <v>831</v>
      </c>
    </row>
    <row r="807" spans="1:16" ht="19.5" customHeight="1">
      <c r="A807" s="2" t="s">
        <v>857</v>
      </c>
      <c r="B807" s="38">
        <v>46033</v>
      </c>
      <c r="C807" s="1">
        <v>3</v>
      </c>
      <c r="D807" s="1" t="s">
        <v>823</v>
      </c>
      <c r="E807" s="1" t="s">
        <v>44</v>
      </c>
      <c r="F807" s="8" t="s">
        <v>376</v>
      </c>
      <c r="G807" s="6">
        <v>144000</v>
      </c>
      <c r="H807" s="6"/>
      <c r="I807" s="6"/>
      <c r="J807" s="7"/>
      <c r="K807" s="73"/>
      <c r="L807" s="73"/>
      <c r="M807" s="73"/>
      <c r="N807" s="73"/>
      <c r="O807" s="3" t="str">
        <f>IF(C807="","",IF(C807=5,IFERROR(INDEX(code_Note1!$F$13:$F$16,MATCH(E807,code_Note1!$E$13:$E$16,0)),INDEX(code_Note1!$F$16,1)),IF(B807&lt;code_Note1!$D$21,"No",IFERROR(VLOOKUP(C807,code_Note1!$D$3:$G$8,3,FALSE),""))))</f>
        <v>yes</v>
      </c>
      <c r="P807" s="3" t="s">
        <v>832</v>
      </c>
    </row>
    <row r="808" spans="1:16" ht="19.5" customHeight="1">
      <c r="A808" s="2" t="s">
        <v>857</v>
      </c>
      <c r="B808" s="38">
        <v>46033</v>
      </c>
      <c r="C808" s="1">
        <v>3</v>
      </c>
      <c r="D808" s="1" t="s">
        <v>823</v>
      </c>
      <c r="E808" s="1" t="s">
        <v>38</v>
      </c>
      <c r="F808" s="8" t="s">
        <v>627</v>
      </c>
      <c r="G808" s="6">
        <v>600000</v>
      </c>
      <c r="H808" s="6"/>
      <c r="I808" s="6"/>
      <c r="J808" s="7"/>
      <c r="K808" s="73"/>
      <c r="L808" s="73"/>
      <c r="M808" s="73"/>
      <c r="N808" s="73"/>
      <c r="O808" s="3" t="str">
        <f>IF(C808="","",IF(C808=5,IFERROR(INDEX(code_Note1!$F$13:$F$16,MATCH(E808,code_Note1!$E$13:$E$16,0)),INDEX(code_Note1!$F$16,1)),IF(B808&lt;code_Note1!$D$21,"No",IFERROR(VLOOKUP(C808,code_Note1!$D$3:$G$8,3,FALSE),""))))</f>
        <v>yes</v>
      </c>
      <c r="P808" s="3" t="s">
        <v>832</v>
      </c>
    </row>
    <row r="809" spans="1:16" ht="19.5" customHeight="1">
      <c r="A809" s="2" t="s">
        <v>857</v>
      </c>
      <c r="B809" s="38">
        <v>46035</v>
      </c>
      <c r="C809" s="1">
        <v>1</v>
      </c>
      <c r="D809" s="1" t="s">
        <v>824</v>
      </c>
      <c r="E809" s="1" t="s">
        <v>54</v>
      </c>
      <c r="F809" s="8" t="s">
        <v>628</v>
      </c>
      <c r="G809" s="6">
        <v>70000</v>
      </c>
      <c r="H809" s="6"/>
      <c r="I809" s="6"/>
      <c r="J809" s="7"/>
      <c r="K809" s="73"/>
      <c r="L809" s="73"/>
      <c r="M809" s="73"/>
      <c r="N809" s="73"/>
      <c r="O809" s="3" t="str">
        <f>IF(C809="","",IF(C809=5,IFERROR(INDEX(code_Note1!$F$13:$F$16,MATCH(E809,code_Note1!$E$13:$E$16,0)),INDEX(code_Note1!$F$16,1)),IF(B809&lt;code_Note1!$D$21,"No",IFERROR(VLOOKUP(C809,code_Note1!$D$3:$G$8,3,FALSE),""))))</f>
        <v>Yes</v>
      </c>
      <c r="P809" s="3" t="s">
        <v>832</v>
      </c>
    </row>
    <row r="810" spans="1:16" ht="19.5" customHeight="1">
      <c r="A810" s="2" t="s">
        <v>857</v>
      </c>
      <c r="B810" s="38">
        <v>46038</v>
      </c>
      <c r="C810" s="1">
        <v>1</v>
      </c>
      <c r="D810" s="1" t="s">
        <v>824</v>
      </c>
      <c r="E810" s="1" t="s">
        <v>476</v>
      </c>
      <c r="F810" s="8" t="s">
        <v>476</v>
      </c>
      <c r="G810" s="6">
        <v>2200000</v>
      </c>
      <c r="H810" s="6"/>
      <c r="I810" s="6"/>
      <c r="J810" s="7"/>
      <c r="K810" s="73"/>
      <c r="L810" s="73"/>
      <c r="M810" s="73"/>
      <c r="N810" s="73"/>
      <c r="O810" s="3" t="str">
        <f>IF(C810="","",IF(C810=5,IFERROR(INDEX(code_Note1!$F$13:$F$16,MATCH(E810,code_Note1!$E$13:$E$16,0)),INDEX(code_Note1!$F$16,1)),IF(B810&lt;code_Note1!$D$21,"No",IFERROR(VLOOKUP(C810,code_Note1!$D$3:$G$8,3,FALSE),""))))</f>
        <v>Yes</v>
      </c>
      <c r="P810" s="3" t="s">
        <v>832</v>
      </c>
    </row>
    <row r="811" spans="1:16" ht="19.5" customHeight="1">
      <c r="A811" s="2" t="s">
        <v>857</v>
      </c>
      <c r="B811" s="38">
        <v>46038</v>
      </c>
      <c r="C811" s="1">
        <v>1</v>
      </c>
      <c r="D811" s="1" t="s">
        <v>824</v>
      </c>
      <c r="E811" s="1" t="s">
        <v>476</v>
      </c>
      <c r="F811" s="8" t="s">
        <v>476</v>
      </c>
      <c r="G811" s="6">
        <v>4400000</v>
      </c>
      <c r="H811" s="6"/>
      <c r="I811" s="6"/>
      <c r="J811" s="7"/>
      <c r="K811" s="73"/>
      <c r="L811" s="73"/>
      <c r="M811" s="73"/>
      <c r="N811" s="73"/>
      <c r="O811" s="3" t="str">
        <f>IF(C811="","",IF(C811=5,IFERROR(INDEX(code_Note1!$F$13:$F$16,MATCH(E811,code_Note1!$E$13:$E$16,0)),INDEX(code_Note1!$F$16,1)),IF(B811&lt;code_Note1!$D$21,"No",IFERROR(VLOOKUP(C811,code_Note1!$D$3:$G$8,3,FALSE),""))))</f>
        <v>Yes</v>
      </c>
      <c r="P811" s="3" t="s">
        <v>832</v>
      </c>
    </row>
    <row r="812" spans="1:16" ht="19.5" customHeight="1">
      <c r="A812" s="2" t="s">
        <v>857</v>
      </c>
      <c r="B812" s="38">
        <v>46038</v>
      </c>
      <c r="C812" s="1">
        <v>1</v>
      </c>
      <c r="D812" s="1" t="s">
        <v>824</v>
      </c>
      <c r="E812" s="1" t="s">
        <v>476</v>
      </c>
      <c r="F812" s="8" t="s">
        <v>476</v>
      </c>
      <c r="G812" s="6">
        <v>4400000</v>
      </c>
      <c r="H812" s="6"/>
      <c r="I812" s="6"/>
      <c r="J812" s="7"/>
      <c r="K812" s="73"/>
      <c r="L812" s="73"/>
      <c r="M812" s="73"/>
      <c r="N812" s="73"/>
      <c r="O812" s="3" t="str">
        <f>IF(C812="","",IF(C812=5,IFERROR(INDEX(code_Note1!$F$13:$F$16,MATCH(E812,code_Note1!$E$13:$E$16,0)),INDEX(code_Note1!$F$16,1)),IF(B812&lt;code_Note1!$D$21,"No",IFERROR(VLOOKUP(C812,code_Note1!$D$3:$G$8,3,FALSE),""))))</f>
        <v>Yes</v>
      </c>
      <c r="P812" s="3" t="s">
        <v>832</v>
      </c>
    </row>
    <row r="813" spans="1:16" ht="19.5" customHeight="1">
      <c r="A813" s="2" t="s">
        <v>854</v>
      </c>
      <c r="B813" s="38">
        <v>46038</v>
      </c>
      <c r="C813" s="1">
        <v>2</v>
      </c>
      <c r="D813" s="1" t="s">
        <v>838</v>
      </c>
      <c r="E813" s="1" t="s">
        <v>21</v>
      </c>
      <c r="F813" s="8" t="s">
        <v>629</v>
      </c>
      <c r="G813" s="6">
        <v>436000</v>
      </c>
      <c r="H813" s="6"/>
      <c r="I813" s="6"/>
      <c r="J813" s="7"/>
      <c r="K813" s="73"/>
      <c r="L813" s="73"/>
      <c r="M813" s="73"/>
      <c r="N813" s="73"/>
      <c r="O813" s="3" t="str">
        <f>IF(C813="","",IF(C813=5,IFERROR(INDEX(code_Note1!$F$13:$F$16,MATCH(E813,code_Note1!$E$13:$E$16,0)),INDEX(code_Note1!$F$16,1)),IF(B813&lt;code_Note1!$D$21,"No",IFERROR(VLOOKUP(C813,code_Note1!$D$3:$G$8,3,FALSE),""))))</f>
        <v>No</v>
      </c>
      <c r="P813" s="3" t="s">
        <v>831</v>
      </c>
    </row>
    <row r="814" spans="1:16" ht="19.5" customHeight="1">
      <c r="A814" s="2" t="s">
        <v>857</v>
      </c>
      <c r="B814" s="38">
        <v>46039</v>
      </c>
      <c r="C814" s="1">
        <v>1</v>
      </c>
      <c r="D814" s="1" t="s">
        <v>824</v>
      </c>
      <c r="E814" s="27" t="s">
        <v>62</v>
      </c>
      <c r="F814" s="8" t="s">
        <v>63</v>
      </c>
      <c r="G814" s="6">
        <v>4355000</v>
      </c>
      <c r="H814" s="6"/>
      <c r="I814" s="6"/>
      <c r="J814" s="7"/>
      <c r="K814" s="73"/>
      <c r="L814" s="73"/>
      <c r="M814" s="73"/>
      <c r="N814" s="73"/>
      <c r="O814" s="3" t="str">
        <f>IF(C814="","",IF(C814=5,IFERROR(INDEX(code_Note1!$F$13:$F$16,MATCH(E814,code_Note1!$E$13:$E$16,0)),INDEX(code_Note1!$F$16,1)),IF(B814&lt;code_Note1!$D$21,"No",IFERROR(VLOOKUP(C814,code_Note1!$D$3:$G$8,3,FALSE),""))))</f>
        <v>Yes</v>
      </c>
      <c r="P814" s="3" t="s">
        <v>832</v>
      </c>
    </row>
    <row r="815" spans="1:16" ht="19.5" customHeight="1">
      <c r="A815" s="2" t="s">
        <v>857</v>
      </c>
      <c r="B815" s="38">
        <v>46039</v>
      </c>
      <c r="C815" s="1">
        <v>1</v>
      </c>
      <c r="D815" s="1" t="s">
        <v>824</v>
      </c>
      <c r="E815" s="27" t="s">
        <v>62</v>
      </c>
      <c r="F815" s="8" t="s">
        <v>630</v>
      </c>
      <c r="G815" s="6">
        <v>4306000</v>
      </c>
      <c r="H815" s="6"/>
      <c r="I815" s="6"/>
      <c r="J815" s="7"/>
      <c r="K815" s="73"/>
      <c r="L815" s="73"/>
      <c r="M815" s="73"/>
      <c r="N815" s="73"/>
      <c r="O815" s="3" t="str">
        <f>IF(C815="","",IF(C815=5,IFERROR(INDEX(code_Note1!$F$13:$F$16,MATCH(E815,code_Note1!$E$13:$E$16,0)),INDEX(code_Note1!$F$16,1)),IF(B815&lt;code_Note1!$D$21,"No",IFERROR(VLOOKUP(C815,code_Note1!$D$3:$G$8,3,FALSE),""))))</f>
        <v>Yes</v>
      </c>
      <c r="P815" s="3" t="s">
        <v>832</v>
      </c>
    </row>
    <row r="816" spans="1:16" ht="19.5" customHeight="1">
      <c r="A816" s="2" t="s">
        <v>857</v>
      </c>
      <c r="B816" s="38">
        <v>46039</v>
      </c>
      <c r="C816" s="1">
        <v>3</v>
      </c>
      <c r="D816" s="1" t="s">
        <v>823</v>
      </c>
      <c r="E816" s="1" t="s">
        <v>38</v>
      </c>
      <c r="F816" s="8" t="s">
        <v>631</v>
      </c>
      <c r="G816" s="6">
        <v>0</v>
      </c>
      <c r="H816" s="6">
        <v>611</v>
      </c>
      <c r="I816" s="6"/>
      <c r="J816" s="7"/>
      <c r="K816" s="73"/>
      <c r="L816" s="73"/>
      <c r="M816" s="73"/>
      <c r="N816" s="73"/>
      <c r="O816" s="3" t="str">
        <f>IF(C816="","",IF(C816=5,IFERROR(INDEX(code_Note1!$F$13:$F$16,MATCH(E816,code_Note1!$E$13:$E$16,0)),INDEX(code_Note1!$F$16,1)),IF(B816&lt;code_Note1!$D$21,"No",IFERROR(VLOOKUP(C816,code_Note1!$D$3:$G$8,3,FALSE),""))))</f>
        <v>yes</v>
      </c>
      <c r="P816" s="3" t="s">
        <v>832</v>
      </c>
    </row>
    <row r="817" spans="1:16" ht="19.5" customHeight="1">
      <c r="A817" s="2" t="s">
        <v>857</v>
      </c>
      <c r="B817" s="38">
        <v>46039</v>
      </c>
      <c r="C817" s="1">
        <v>1</v>
      </c>
      <c r="D817" s="1" t="s">
        <v>824</v>
      </c>
      <c r="E817" s="27" t="s">
        <v>62</v>
      </c>
      <c r="F817" s="8" t="s">
        <v>63</v>
      </c>
      <c r="G817" s="6">
        <v>4355000</v>
      </c>
      <c r="H817" s="6"/>
      <c r="I817" s="6"/>
      <c r="J817" s="7"/>
      <c r="K817" s="73"/>
      <c r="L817" s="73"/>
      <c r="M817" s="73"/>
      <c r="N817" s="73"/>
      <c r="O817" s="3" t="str">
        <f>IF(C817="","",IF(C817=5,IFERROR(INDEX(code_Note1!$F$13:$F$16,MATCH(E817,code_Note1!$E$13:$E$16,0)),INDEX(code_Note1!$F$16,1)),IF(B817&lt;code_Note1!$D$21,"No",IFERROR(VLOOKUP(C817,code_Note1!$D$3:$G$8,3,FALSE),""))))</f>
        <v>Yes</v>
      </c>
      <c r="P817" s="3" t="s">
        <v>832</v>
      </c>
    </row>
    <row r="818" spans="1:16" ht="19.5" customHeight="1">
      <c r="A818" s="2" t="s">
        <v>857</v>
      </c>
      <c r="B818" s="38">
        <v>46039</v>
      </c>
      <c r="C818" s="1">
        <v>1</v>
      </c>
      <c r="D818" s="1" t="s">
        <v>824</v>
      </c>
      <c r="E818" s="27" t="s">
        <v>62</v>
      </c>
      <c r="F818" s="8" t="s">
        <v>63</v>
      </c>
      <c r="G818" s="6">
        <v>4306000</v>
      </c>
      <c r="H818" s="6"/>
      <c r="I818" s="6"/>
      <c r="J818" s="7"/>
      <c r="K818" s="73"/>
      <c r="L818" s="73"/>
      <c r="M818" s="73"/>
      <c r="N818" s="73"/>
      <c r="O818" s="3" t="str">
        <f>IF(C818="","",IF(C818=5,IFERROR(INDEX(code_Note1!$F$13:$F$16,MATCH(E818,code_Note1!$E$13:$E$16,0)),INDEX(code_Note1!$F$16,1)),IF(B818&lt;code_Note1!$D$21,"No",IFERROR(VLOOKUP(C818,code_Note1!$D$3:$G$8,3,FALSE),""))))</f>
        <v>Yes</v>
      </c>
      <c r="P818" s="3" t="s">
        <v>832</v>
      </c>
    </row>
    <row r="819" spans="1:16" ht="19.5" customHeight="1">
      <c r="A819" s="2" t="s">
        <v>857</v>
      </c>
      <c r="B819" s="38">
        <v>46039</v>
      </c>
      <c r="C819" s="1">
        <v>1</v>
      </c>
      <c r="D819" s="1" t="s">
        <v>824</v>
      </c>
      <c r="E819" s="1" t="s">
        <v>476</v>
      </c>
      <c r="F819" s="8" t="s">
        <v>476</v>
      </c>
      <c r="G819" s="6">
        <v>4400000</v>
      </c>
      <c r="H819" s="6"/>
      <c r="I819" s="6"/>
      <c r="J819" s="7"/>
      <c r="K819" s="73"/>
      <c r="L819" s="73"/>
      <c r="M819" s="73"/>
      <c r="N819" s="73"/>
      <c r="O819" s="3" t="str">
        <f>IF(C819="","",IF(C819=5,IFERROR(INDEX(code_Note1!$F$13:$F$16,MATCH(E819,code_Note1!$E$13:$E$16,0)),INDEX(code_Note1!$F$16,1)),IF(B819&lt;code_Note1!$D$21,"No",IFERROR(VLOOKUP(C819,code_Note1!$D$3:$G$8,3,FALSE),""))))</f>
        <v>Yes</v>
      </c>
      <c r="P819" s="3" t="s">
        <v>832</v>
      </c>
    </row>
    <row r="820" spans="1:16" ht="19.5" customHeight="1">
      <c r="A820" s="2" t="s">
        <v>857</v>
      </c>
      <c r="B820" s="38">
        <v>46040</v>
      </c>
      <c r="C820" s="1">
        <v>3</v>
      </c>
      <c r="D820" s="1" t="s">
        <v>823</v>
      </c>
      <c r="E820" s="1" t="s">
        <v>12</v>
      </c>
      <c r="F820" s="8" t="s">
        <v>632</v>
      </c>
      <c r="G820" s="6">
        <v>1363610</v>
      </c>
      <c r="H820" s="6"/>
      <c r="I820" s="6"/>
      <c r="J820" s="7"/>
      <c r="K820" s="73"/>
      <c r="L820" s="73"/>
      <c r="M820" s="73"/>
      <c r="N820" s="73"/>
      <c r="O820" s="3" t="str">
        <f>IF(C820="","",IF(C820=5,IFERROR(INDEX(code_Note1!$F$13:$F$16,MATCH(E820,code_Note1!$E$13:$E$16,0)),INDEX(code_Note1!$F$16,1)),IF(B820&lt;code_Note1!$D$21,"No",IFERROR(VLOOKUP(C820,code_Note1!$D$3:$G$8,3,FALSE),""))))</f>
        <v>yes</v>
      </c>
      <c r="P820" s="3" t="s">
        <v>832</v>
      </c>
    </row>
    <row r="821" spans="1:16" ht="19.5" customHeight="1">
      <c r="A821" s="2" t="s">
        <v>854</v>
      </c>
      <c r="B821" s="38">
        <v>46040</v>
      </c>
      <c r="C821" s="1">
        <v>2</v>
      </c>
      <c r="D821" s="1" t="s">
        <v>838</v>
      </c>
      <c r="E821" s="1" t="s">
        <v>46</v>
      </c>
      <c r="F821" s="8" t="s">
        <v>130</v>
      </c>
      <c r="G821" s="6">
        <v>300000</v>
      </c>
      <c r="H821" s="6"/>
      <c r="I821" s="6"/>
      <c r="J821" s="7"/>
      <c r="K821" s="73"/>
      <c r="L821" s="73"/>
      <c r="M821" s="73"/>
      <c r="N821" s="73"/>
      <c r="O821" s="3" t="str">
        <f>IF(C821="","",IF(C821=5,IFERROR(INDEX(code_Note1!$F$13:$F$16,MATCH(E821,code_Note1!$E$13:$E$16,0)),INDEX(code_Note1!$F$16,1)),IF(B821&lt;code_Note1!$D$21,"No",IFERROR(VLOOKUP(C821,code_Note1!$D$3:$G$8,3,FALSE),""))))</f>
        <v>No</v>
      </c>
      <c r="P821" s="3" t="s">
        <v>831</v>
      </c>
    </row>
    <row r="822" spans="1:16" ht="19.5" customHeight="1">
      <c r="A822" s="2" t="s">
        <v>854</v>
      </c>
      <c r="B822" s="38">
        <v>46040</v>
      </c>
      <c r="C822" s="1">
        <v>2</v>
      </c>
      <c r="D822" s="1" t="s">
        <v>838</v>
      </c>
      <c r="E822" s="1" t="s">
        <v>379</v>
      </c>
      <c r="F822" s="8" t="s">
        <v>633</v>
      </c>
      <c r="G822" s="6">
        <v>0</v>
      </c>
      <c r="H822" s="6"/>
      <c r="I822" s="6"/>
      <c r="J822" s="7"/>
      <c r="K822" s="73"/>
      <c r="L822" s="73"/>
      <c r="M822" s="73"/>
      <c r="N822" s="73"/>
      <c r="O822" s="3" t="str">
        <f>IF(C822="","",IF(C822=5,IFERROR(INDEX(code_Note1!$F$13:$F$16,MATCH(E822,code_Note1!$E$13:$E$16,0)),INDEX(code_Note1!$F$16,1)),IF(B822&lt;code_Note1!$D$21,"No",IFERROR(VLOOKUP(C822,code_Note1!$D$3:$G$8,3,FALSE),""))))</f>
        <v>No</v>
      </c>
      <c r="P822" s="3" t="s">
        <v>831</v>
      </c>
    </row>
    <row r="823" spans="1:16" ht="19.5" customHeight="1">
      <c r="A823" s="2" t="s">
        <v>854</v>
      </c>
      <c r="B823" s="38">
        <v>46040</v>
      </c>
      <c r="C823" s="1">
        <v>2</v>
      </c>
      <c r="D823" s="1" t="s">
        <v>838</v>
      </c>
      <c r="E823" s="1" t="s">
        <v>46</v>
      </c>
      <c r="F823" s="8" t="s">
        <v>634</v>
      </c>
      <c r="G823" s="6">
        <v>0</v>
      </c>
      <c r="H823" s="6">
        <v>8000</v>
      </c>
      <c r="I823" s="6"/>
      <c r="J823" s="7"/>
      <c r="K823" s="73"/>
      <c r="L823" s="73"/>
      <c r="M823" s="73"/>
      <c r="N823" s="73"/>
      <c r="O823" s="3" t="str">
        <f>IF(C823="","",IF(C823=5,IFERROR(INDEX(code_Note1!$F$13:$F$16,MATCH(E823,code_Note1!$E$13:$E$16,0)),INDEX(code_Note1!$F$16,1)),IF(B823&lt;code_Note1!$D$21,"No",IFERROR(VLOOKUP(C823,code_Note1!$D$3:$G$8,3,FALSE),""))))</f>
        <v>No</v>
      </c>
      <c r="P823" s="3" t="s">
        <v>831</v>
      </c>
    </row>
    <row r="824" spans="1:16" ht="19.5" customHeight="1">
      <c r="A824" s="2" t="s">
        <v>854</v>
      </c>
      <c r="B824" s="38">
        <v>46040</v>
      </c>
      <c r="C824" s="1">
        <v>2</v>
      </c>
      <c r="D824" s="1" t="s">
        <v>838</v>
      </c>
      <c r="E824" s="1" t="s">
        <v>111</v>
      </c>
      <c r="F824" s="8" t="s">
        <v>635</v>
      </c>
      <c r="G824" s="6">
        <v>0</v>
      </c>
      <c r="H824" s="6">
        <v>2196</v>
      </c>
      <c r="I824" s="6"/>
      <c r="J824" s="7"/>
      <c r="K824" s="73"/>
      <c r="L824" s="73"/>
      <c r="M824" s="73"/>
      <c r="N824" s="73"/>
      <c r="O824" s="3" t="str">
        <f>IF(C824="","",IF(C824=5,IFERROR(INDEX(code_Note1!$F$13:$F$16,MATCH(E824,code_Note1!$E$13:$E$16,0)),INDEX(code_Note1!$F$16,1)),IF(B824&lt;code_Note1!$D$21,"No",IFERROR(VLOOKUP(C824,code_Note1!$D$3:$G$8,3,FALSE),""))))</f>
        <v>No</v>
      </c>
      <c r="P824" s="3" t="s">
        <v>831</v>
      </c>
    </row>
    <row r="825" spans="1:16" ht="19.5" customHeight="1">
      <c r="A825" s="2" t="s">
        <v>854</v>
      </c>
      <c r="B825" s="38">
        <v>46040</v>
      </c>
      <c r="C825" s="1">
        <v>2</v>
      </c>
      <c r="D825" s="1" t="s">
        <v>838</v>
      </c>
      <c r="E825" s="1" t="s">
        <v>46</v>
      </c>
      <c r="F825" s="8" t="s">
        <v>636</v>
      </c>
      <c r="G825" s="6">
        <v>600000</v>
      </c>
      <c r="H825" s="6"/>
      <c r="I825" s="6"/>
      <c r="J825" s="7"/>
      <c r="K825" s="73"/>
      <c r="L825" s="73"/>
      <c r="M825" s="73"/>
      <c r="N825" s="73"/>
      <c r="O825" s="3" t="str">
        <f>IF(C825="","",IF(C825=5,IFERROR(INDEX(code_Note1!$F$13:$F$16,MATCH(E825,code_Note1!$E$13:$E$16,0)),INDEX(code_Note1!$F$16,1)),IF(B825&lt;code_Note1!$D$21,"No",IFERROR(VLOOKUP(C825,code_Note1!$D$3:$G$8,3,FALSE),""))))</f>
        <v>No</v>
      </c>
      <c r="P825" s="3" t="s">
        <v>831</v>
      </c>
    </row>
    <row r="826" spans="1:16" ht="19.5" customHeight="1">
      <c r="A826" s="2" t="s">
        <v>857</v>
      </c>
      <c r="B826" s="38">
        <v>46042</v>
      </c>
      <c r="C826" s="1">
        <v>1</v>
      </c>
      <c r="D826" s="1" t="s">
        <v>824</v>
      </c>
      <c r="E826" s="27" t="s">
        <v>62</v>
      </c>
      <c r="F826" s="8" t="s">
        <v>630</v>
      </c>
      <c r="G826" s="6">
        <v>4305000</v>
      </c>
      <c r="H826" s="6"/>
      <c r="I826" s="6"/>
      <c r="J826" s="7"/>
      <c r="K826" s="73"/>
      <c r="L826" s="73"/>
      <c r="M826" s="73"/>
      <c r="N826" s="73"/>
      <c r="O826" s="3" t="str">
        <f>IF(C826="","",IF(C826=5,IFERROR(INDEX(code_Note1!$F$13:$F$16,MATCH(E826,code_Note1!$E$13:$E$16,0)),INDEX(code_Note1!$F$16,1)),IF(B826&lt;code_Note1!$D$21,"No",IFERROR(VLOOKUP(C826,code_Note1!$D$3:$G$8,3,FALSE),""))))</f>
        <v>Yes</v>
      </c>
      <c r="P826" s="3" t="s">
        <v>832</v>
      </c>
    </row>
    <row r="827" spans="1:16" ht="19.5" customHeight="1">
      <c r="A827" s="2" t="s">
        <v>857</v>
      </c>
      <c r="B827" s="38">
        <v>46043</v>
      </c>
      <c r="C827" s="1">
        <v>1</v>
      </c>
      <c r="D827" s="1" t="s">
        <v>824</v>
      </c>
      <c r="E827" s="27" t="s">
        <v>62</v>
      </c>
      <c r="F827" s="8" t="s">
        <v>63</v>
      </c>
      <c r="G827" s="6">
        <v>4347800</v>
      </c>
      <c r="H827" s="6"/>
      <c r="I827" s="6"/>
      <c r="J827" s="7"/>
      <c r="K827" s="73"/>
      <c r="L827" s="73"/>
      <c r="M827" s="73"/>
      <c r="N827" s="73"/>
      <c r="O827" s="3" t="str">
        <f>IF(C827="","",IF(C827=5,IFERROR(INDEX(code_Note1!$F$13:$F$16,MATCH(E827,code_Note1!$E$13:$E$16,0)),INDEX(code_Note1!$F$16,1)),IF(B827&lt;code_Note1!$D$21,"No",IFERROR(VLOOKUP(C827,code_Note1!$D$3:$G$8,3,FALSE),""))))</f>
        <v>Yes</v>
      </c>
      <c r="P827" s="3" t="s">
        <v>832</v>
      </c>
    </row>
    <row r="828" spans="1:16" ht="19.5" customHeight="1">
      <c r="A828" s="2" t="s">
        <v>857</v>
      </c>
      <c r="B828" s="38">
        <v>46045</v>
      </c>
      <c r="C828" s="1">
        <v>1</v>
      </c>
      <c r="D828" s="1" t="s">
        <v>824</v>
      </c>
      <c r="E828" s="1" t="s">
        <v>476</v>
      </c>
      <c r="F828" s="8" t="s">
        <v>476</v>
      </c>
      <c r="G828" s="6">
        <v>4400000</v>
      </c>
      <c r="H828" s="6"/>
      <c r="I828" s="6"/>
      <c r="J828" s="7"/>
      <c r="K828" s="73"/>
      <c r="L828" s="73"/>
      <c r="M828" s="73"/>
      <c r="N828" s="73"/>
      <c r="O828" s="3" t="str">
        <f>IF(C828="","",IF(C828=5,IFERROR(INDEX(code_Note1!$F$13:$F$16,MATCH(E828,code_Note1!$E$13:$E$16,0)),INDEX(code_Note1!$F$16,1)),IF(B828&lt;code_Note1!$D$21,"No",IFERROR(VLOOKUP(C828,code_Note1!$D$3:$G$8,3,FALSE),""))))</f>
        <v>Yes</v>
      </c>
      <c r="P828" s="3" t="s">
        <v>832</v>
      </c>
    </row>
    <row r="829" spans="1:16" ht="19.5" customHeight="1">
      <c r="A829" s="2" t="s">
        <v>857</v>
      </c>
      <c r="B829" s="38">
        <v>46045</v>
      </c>
      <c r="C829" s="1">
        <v>1</v>
      </c>
      <c r="D829" s="1" t="s">
        <v>824</v>
      </c>
      <c r="E829" s="1" t="s">
        <v>476</v>
      </c>
      <c r="F829" s="8" t="s">
        <v>476</v>
      </c>
      <c r="G829" s="6">
        <v>1100000</v>
      </c>
      <c r="H829" s="6"/>
      <c r="I829" s="6"/>
      <c r="J829" s="7"/>
      <c r="K829" s="73"/>
      <c r="L829" s="73"/>
      <c r="M829" s="73"/>
      <c r="N829" s="73"/>
      <c r="O829" s="3" t="str">
        <f>IF(C829="","",IF(C829=5,IFERROR(INDEX(code_Note1!$F$13:$F$16,MATCH(E829,code_Note1!$E$13:$E$16,0)),INDEX(code_Note1!$F$16,1)),IF(B829&lt;code_Note1!$D$21,"No",IFERROR(VLOOKUP(C829,code_Note1!$D$3:$G$8,3,FALSE),""))))</f>
        <v>Yes</v>
      </c>
      <c r="P829" s="3" t="s">
        <v>832</v>
      </c>
    </row>
    <row r="830" spans="1:16" ht="19.5" customHeight="1">
      <c r="A830" s="2" t="s">
        <v>857</v>
      </c>
      <c r="B830" s="38">
        <v>46046</v>
      </c>
      <c r="C830" s="1">
        <v>3</v>
      </c>
      <c r="D830" s="1" t="s">
        <v>823</v>
      </c>
      <c r="E830" s="29" t="s">
        <v>521</v>
      </c>
      <c r="F830" s="8" t="s">
        <v>637</v>
      </c>
      <c r="G830" s="6">
        <v>1000000</v>
      </c>
      <c r="H830" s="6"/>
      <c r="I830" s="6"/>
      <c r="J830" s="7"/>
      <c r="K830" s="73"/>
      <c r="L830" s="73"/>
      <c r="M830" s="73"/>
      <c r="N830" s="73"/>
      <c r="O830" s="3" t="str">
        <f>IF(C830="","",IF(C830=5,IFERROR(INDEX(code_Note1!$F$13:$F$16,MATCH(E830,code_Note1!$E$13:$E$16,0)),INDEX(code_Note1!$F$16,1)),IF(B830&lt;code_Note1!$D$21,"No",IFERROR(VLOOKUP(C830,code_Note1!$D$3:$G$8,3,FALSE),""))))</f>
        <v>yes</v>
      </c>
      <c r="P830" s="3" t="s">
        <v>832</v>
      </c>
    </row>
    <row r="831" spans="1:16" ht="19.5" customHeight="1">
      <c r="A831" s="2" t="s">
        <v>857</v>
      </c>
      <c r="B831" s="38">
        <v>46047</v>
      </c>
      <c r="C831" s="1">
        <v>1</v>
      </c>
      <c r="D831" s="1" t="s">
        <v>824</v>
      </c>
      <c r="E831" s="1" t="s">
        <v>293</v>
      </c>
      <c r="F831" s="8" t="s">
        <v>436</v>
      </c>
      <c r="G831" s="6">
        <v>3590000</v>
      </c>
      <c r="H831" s="6"/>
      <c r="I831" s="6"/>
      <c r="J831" s="7"/>
      <c r="K831" s="73"/>
      <c r="L831" s="73"/>
      <c r="M831" s="73"/>
      <c r="N831" s="73"/>
      <c r="O831" s="3" t="str">
        <f>IF(C831="","",IF(C831=5,IFERROR(INDEX(code_Note1!$F$13:$F$16,MATCH(E831,code_Note1!$E$13:$E$16,0)),INDEX(code_Note1!$F$16,1)),IF(B831&lt;code_Note1!$D$21,"No",IFERROR(VLOOKUP(C831,code_Note1!$D$3:$G$8,3,FALSE),""))))</f>
        <v>Yes</v>
      </c>
      <c r="P831" s="3" t="s">
        <v>832</v>
      </c>
    </row>
    <row r="832" spans="1:16" ht="19.5" customHeight="1">
      <c r="A832" s="2" t="s">
        <v>854</v>
      </c>
      <c r="B832" s="38">
        <v>46047</v>
      </c>
      <c r="C832" s="1">
        <v>2</v>
      </c>
      <c r="D832" s="1" t="s">
        <v>838</v>
      </c>
      <c r="E832" s="1" t="s">
        <v>21</v>
      </c>
      <c r="F832" s="8" t="s">
        <v>638</v>
      </c>
      <c r="G832" s="6">
        <v>300000</v>
      </c>
      <c r="H832" s="6"/>
      <c r="I832" s="6"/>
      <c r="J832" s="7"/>
      <c r="K832" s="73"/>
      <c r="L832" s="73"/>
      <c r="M832" s="73"/>
      <c r="N832" s="73"/>
      <c r="O832" s="3" t="str">
        <f>IF(C832="","",IF(C832=5,IFERROR(INDEX(code_Note1!$F$13:$F$16,MATCH(E832,code_Note1!$E$13:$E$16,0)),INDEX(code_Note1!$F$16,1)),IF(B832&lt;code_Note1!$D$21,"No",IFERROR(VLOOKUP(C832,code_Note1!$D$3:$G$8,3,FALSE),""))))</f>
        <v>No</v>
      </c>
      <c r="P832" s="3" t="s">
        <v>831</v>
      </c>
    </row>
    <row r="833" spans="1:16" ht="19.5" customHeight="1">
      <c r="A833" s="2" t="s">
        <v>854</v>
      </c>
      <c r="B833" s="38">
        <v>46047</v>
      </c>
      <c r="C833" s="1">
        <v>2</v>
      </c>
      <c r="D833" s="1" t="s">
        <v>838</v>
      </c>
      <c r="E833" s="1" t="s">
        <v>51</v>
      </c>
      <c r="F833" s="8" t="s">
        <v>446</v>
      </c>
      <c r="G833" s="6">
        <v>777000</v>
      </c>
      <c r="H833" s="6"/>
      <c r="I833" s="6"/>
      <c r="J833" s="7"/>
      <c r="K833" s="73"/>
      <c r="L833" s="73"/>
      <c r="M833" s="73"/>
      <c r="N833" s="73"/>
      <c r="O833" s="3" t="str">
        <f>IF(C833="","",IF(C833=5,IFERROR(INDEX(code_Note1!$F$13:$F$16,MATCH(E833,code_Note1!$E$13:$E$16,0)),INDEX(code_Note1!$F$16,1)),IF(B833&lt;code_Note1!$D$21,"No",IFERROR(VLOOKUP(C833,code_Note1!$D$3:$G$8,3,FALSE),""))))</f>
        <v>No</v>
      </c>
      <c r="P833" s="3" t="s">
        <v>831</v>
      </c>
    </row>
    <row r="834" spans="1:16" ht="19.5" customHeight="1">
      <c r="A834" s="2" t="s">
        <v>857</v>
      </c>
      <c r="B834" s="38">
        <v>46048</v>
      </c>
      <c r="C834" s="1">
        <v>3</v>
      </c>
      <c r="D834" s="1" t="s">
        <v>823</v>
      </c>
      <c r="E834" s="29" t="s">
        <v>521</v>
      </c>
      <c r="F834" s="8" t="s">
        <v>639</v>
      </c>
      <c r="G834" s="6">
        <v>1000000</v>
      </c>
      <c r="H834" s="6"/>
      <c r="I834" s="6"/>
      <c r="J834" s="7"/>
      <c r="K834" s="73"/>
      <c r="L834" s="73"/>
      <c r="M834" s="73"/>
      <c r="N834" s="73"/>
      <c r="O834" s="3" t="str">
        <f>IF(C834="","",IF(C834=5,IFERROR(INDEX(code_Note1!$F$13:$F$16,MATCH(E834,code_Note1!$E$13:$E$16,0)),INDEX(code_Note1!$F$16,1)),IF(B834&lt;code_Note1!$D$21,"No",IFERROR(VLOOKUP(C834,code_Note1!$D$3:$G$8,3,FALSE),""))))</f>
        <v>yes</v>
      </c>
      <c r="P834" s="3" t="s">
        <v>832</v>
      </c>
    </row>
    <row r="835" spans="1:16" ht="19.5" customHeight="1">
      <c r="A835" s="2" t="s">
        <v>854</v>
      </c>
      <c r="B835" s="38">
        <v>46052</v>
      </c>
      <c r="C835" s="1">
        <v>2</v>
      </c>
      <c r="D835" s="1" t="s">
        <v>838</v>
      </c>
      <c r="E835" s="1" t="s">
        <v>221</v>
      </c>
      <c r="F835" s="8" t="s">
        <v>429</v>
      </c>
      <c r="G835" s="6">
        <v>2400000</v>
      </c>
      <c r="H835" s="6"/>
      <c r="I835" s="6"/>
      <c r="J835" s="7"/>
      <c r="K835" s="73"/>
      <c r="L835" s="73"/>
      <c r="M835" s="73"/>
      <c r="N835" s="73"/>
      <c r="O835" s="3" t="str">
        <f>IF(C835="","",IF(C835=5,IFERROR(INDEX(code_Note1!$F$13:$F$16,MATCH(E835,code_Note1!$E$13:$E$16,0)),INDEX(code_Note1!$F$16,1)),IF(B835&lt;code_Note1!$D$21,"No",IFERROR(VLOOKUP(C835,code_Note1!$D$3:$G$8,3,FALSE),""))))</f>
        <v>No</v>
      </c>
      <c r="P835" s="3" t="s">
        <v>831</v>
      </c>
    </row>
    <row r="836" spans="1:16" ht="19.5" customHeight="1">
      <c r="A836" s="2" t="s">
        <v>854</v>
      </c>
      <c r="B836" s="38">
        <v>46055</v>
      </c>
      <c r="C836" s="1">
        <v>2</v>
      </c>
      <c r="D836" s="1" t="s">
        <v>838</v>
      </c>
      <c r="E836" s="1" t="s">
        <v>221</v>
      </c>
      <c r="F836" s="8" t="s">
        <v>429</v>
      </c>
      <c r="G836" s="6">
        <v>250000</v>
      </c>
      <c r="H836" s="6"/>
      <c r="I836" s="6"/>
      <c r="J836" s="7"/>
      <c r="K836" s="73"/>
      <c r="L836" s="73"/>
      <c r="M836" s="73"/>
      <c r="N836" s="73"/>
      <c r="O836" s="3" t="str">
        <f>IF(C836="","",IF(C836=5,IFERROR(INDEX(code_Note1!$F$13:$F$16,MATCH(E836,code_Note1!$E$13:$E$16,0)),INDEX(code_Note1!$F$16,1)),IF(B836&lt;code_Note1!$D$21,"No",IFERROR(VLOOKUP(C836,code_Note1!$D$3:$G$8,3,FALSE),""))))</f>
        <v>No</v>
      </c>
      <c r="P836" s="3" t="s">
        <v>831</v>
      </c>
    </row>
    <row r="837" spans="1:16" ht="19.5" customHeight="1">
      <c r="A837" s="2" t="s">
        <v>854</v>
      </c>
      <c r="B837" s="38">
        <v>46055</v>
      </c>
      <c r="C837" s="1">
        <v>2</v>
      </c>
      <c r="D837" s="1" t="s">
        <v>838</v>
      </c>
      <c r="E837" s="1" t="s">
        <v>76</v>
      </c>
      <c r="F837" s="8" t="s">
        <v>640</v>
      </c>
      <c r="G837" s="6">
        <v>60000</v>
      </c>
      <c r="H837" s="6"/>
      <c r="I837" s="6"/>
      <c r="J837" s="7"/>
      <c r="K837" s="73"/>
      <c r="L837" s="73"/>
      <c r="M837" s="73"/>
      <c r="N837" s="73"/>
      <c r="O837" s="3" t="str">
        <f>IF(C837="","",IF(C837=5,IFERROR(INDEX(code_Note1!$F$13:$F$16,MATCH(E837,code_Note1!$E$13:$E$16,0)),INDEX(code_Note1!$F$16,1)),IF(B837&lt;code_Note1!$D$21,"No",IFERROR(VLOOKUP(C837,code_Note1!$D$3:$G$8,3,FALSE),""))))</f>
        <v>No</v>
      </c>
      <c r="P837" s="3" t="s">
        <v>831</v>
      </c>
    </row>
    <row r="838" spans="1:16" ht="19.5" customHeight="1">
      <c r="A838" s="2" t="s">
        <v>857</v>
      </c>
      <c r="B838" s="38">
        <v>46056</v>
      </c>
      <c r="C838" s="1">
        <v>3</v>
      </c>
      <c r="D838" s="1" t="s">
        <v>823</v>
      </c>
      <c r="E838" s="1" t="s">
        <v>44</v>
      </c>
      <c r="F838" s="8" t="s">
        <v>641</v>
      </c>
      <c r="G838" s="6">
        <v>240000</v>
      </c>
      <c r="H838" s="6"/>
      <c r="I838" s="6"/>
      <c r="J838" s="7"/>
      <c r="K838" s="73"/>
      <c r="L838" s="73"/>
      <c r="M838" s="73"/>
      <c r="N838" s="73"/>
      <c r="O838" s="3" t="str">
        <f>IF(C838="","",IF(C838=5,IFERROR(INDEX(code_Note1!$F$13:$F$16,MATCH(E838,code_Note1!$E$13:$E$16,0)),INDEX(code_Note1!$F$16,1)),IF(B838&lt;code_Note1!$D$21,"No",IFERROR(VLOOKUP(C838,code_Note1!$D$3:$G$8,3,FALSE),""))))</f>
        <v>yes</v>
      </c>
      <c r="P838" s="3" t="s">
        <v>832</v>
      </c>
    </row>
    <row r="839" spans="1:16" ht="19.5" customHeight="1">
      <c r="A839" s="2" t="s">
        <v>857</v>
      </c>
      <c r="B839" s="38">
        <v>46056</v>
      </c>
      <c r="C839" s="1">
        <v>1</v>
      </c>
      <c r="D839" s="1" t="s">
        <v>824</v>
      </c>
      <c r="E839" s="27" t="s">
        <v>62</v>
      </c>
      <c r="F839" s="8" t="s">
        <v>63</v>
      </c>
      <c r="G839" s="6">
        <v>2164000</v>
      </c>
      <c r="H839" s="6"/>
      <c r="I839" s="6"/>
      <c r="J839" s="7"/>
      <c r="K839" s="73"/>
      <c r="L839" s="73"/>
      <c r="M839" s="73"/>
      <c r="N839" s="73"/>
      <c r="O839" s="3" t="str">
        <f>IF(C839="","",IF(C839=5,IFERROR(INDEX(code_Note1!$F$13:$F$16,MATCH(E839,code_Note1!$E$13:$E$16,0)),INDEX(code_Note1!$F$16,1)),IF(B839&lt;code_Note1!$D$21,"No",IFERROR(VLOOKUP(C839,code_Note1!$D$3:$G$8,3,FALSE),""))))</f>
        <v>Yes</v>
      </c>
      <c r="P839" s="3" t="s">
        <v>832</v>
      </c>
    </row>
    <row r="840" spans="1:16" ht="19.5" customHeight="1">
      <c r="A840" s="2" t="s">
        <v>854</v>
      </c>
      <c r="B840" s="38">
        <v>46057</v>
      </c>
      <c r="C840" s="1">
        <v>2</v>
      </c>
      <c r="D840" s="1" t="s">
        <v>838</v>
      </c>
      <c r="E840" s="1" t="s">
        <v>46</v>
      </c>
      <c r="F840" s="8" t="s">
        <v>130</v>
      </c>
      <c r="G840" s="6">
        <v>900000</v>
      </c>
      <c r="H840" s="6"/>
      <c r="I840" s="6"/>
      <c r="J840" s="7"/>
      <c r="K840" s="73"/>
      <c r="L840" s="73"/>
      <c r="M840" s="73"/>
      <c r="N840" s="73"/>
      <c r="O840" s="3" t="str">
        <f>IF(C840="","",IF(C840=5,IFERROR(INDEX(code_Note1!$F$13:$F$16,MATCH(E840,code_Note1!$E$13:$E$16,0)),INDEX(code_Note1!$F$16,1)),IF(B840&lt;code_Note1!$D$21,"No",IFERROR(VLOOKUP(C840,code_Note1!$D$3:$G$8,3,FALSE),""))))</f>
        <v>No</v>
      </c>
      <c r="P840" s="3" t="s">
        <v>831</v>
      </c>
    </row>
    <row r="841" spans="1:16" ht="19.5" customHeight="1">
      <c r="A841" s="2" t="s">
        <v>857</v>
      </c>
      <c r="B841" s="38">
        <v>46057</v>
      </c>
      <c r="C841" s="1">
        <v>1</v>
      </c>
      <c r="D841" s="1" t="s">
        <v>824</v>
      </c>
      <c r="E841" s="37" t="s">
        <v>285</v>
      </c>
      <c r="F841" s="8" t="s">
        <v>284</v>
      </c>
      <c r="G841" s="6">
        <v>89469</v>
      </c>
      <c r="H841" s="6"/>
      <c r="I841" s="6"/>
      <c r="J841" s="7"/>
      <c r="K841" s="73"/>
      <c r="L841" s="73"/>
      <c r="M841" s="73"/>
      <c r="N841" s="73"/>
      <c r="O841" s="3" t="str">
        <f>IF(C841="","",IF(C841=5,IFERROR(INDEX(code_Note1!$F$13:$F$16,MATCH(E841,code_Note1!$E$13:$E$16,0)),INDEX(code_Note1!$F$16,1)),IF(B841&lt;code_Note1!$D$21,"No",IFERROR(VLOOKUP(C841,code_Note1!$D$3:$G$8,3,FALSE),""))))</f>
        <v>Yes</v>
      </c>
      <c r="P841" s="3" t="s">
        <v>832</v>
      </c>
    </row>
    <row r="842" spans="1:16" ht="19.5" customHeight="1">
      <c r="A842" s="2" t="s">
        <v>857</v>
      </c>
      <c r="B842" s="38">
        <v>46057</v>
      </c>
      <c r="C842" s="1">
        <v>1</v>
      </c>
      <c r="D842" s="1" t="s">
        <v>824</v>
      </c>
      <c r="E842" s="37" t="s">
        <v>285</v>
      </c>
      <c r="F842" s="8" t="s">
        <v>284</v>
      </c>
      <c r="G842" s="6">
        <v>81862</v>
      </c>
      <c r="H842" s="6"/>
      <c r="I842" s="6"/>
      <c r="J842" s="7"/>
      <c r="K842" s="73"/>
      <c r="L842" s="73"/>
      <c r="M842" s="73"/>
      <c r="N842" s="73"/>
      <c r="O842" s="3" t="str">
        <f>IF(C842="","",IF(C842=5,IFERROR(INDEX(code_Note1!$F$13:$F$16,MATCH(E842,code_Note1!$E$13:$E$16,0)),INDEX(code_Note1!$F$16,1)),IF(B842&lt;code_Note1!$D$21,"No",IFERROR(VLOOKUP(C842,code_Note1!$D$3:$G$8,3,FALSE),""))))</f>
        <v>Yes</v>
      </c>
      <c r="P842" s="3" t="s">
        <v>832</v>
      </c>
    </row>
    <row r="843" spans="1:16" ht="19.5" customHeight="1">
      <c r="A843" s="2" t="s">
        <v>857</v>
      </c>
      <c r="B843" s="38">
        <v>46057</v>
      </c>
      <c r="C843" s="1">
        <v>1</v>
      </c>
      <c r="D843" s="1" t="s">
        <v>824</v>
      </c>
      <c r="E843" s="37" t="s">
        <v>285</v>
      </c>
      <c r="F843" s="8" t="s">
        <v>284</v>
      </c>
      <c r="G843" s="6">
        <v>287843</v>
      </c>
      <c r="H843" s="6"/>
      <c r="I843" s="6"/>
      <c r="J843" s="7"/>
      <c r="K843" s="73"/>
      <c r="L843" s="73"/>
      <c r="M843" s="73"/>
      <c r="N843" s="73"/>
      <c r="O843" s="3" t="str">
        <f>IF(C843="","",IF(C843=5,IFERROR(INDEX(code_Note1!$F$13:$F$16,MATCH(E843,code_Note1!$E$13:$E$16,0)),INDEX(code_Note1!$F$16,1)),IF(B843&lt;code_Note1!$D$21,"No",IFERROR(VLOOKUP(C843,code_Note1!$D$3:$G$8,3,FALSE),""))))</f>
        <v>Yes</v>
      </c>
      <c r="P843" s="3" t="s">
        <v>832</v>
      </c>
    </row>
    <row r="844" spans="1:16" ht="19.5" customHeight="1">
      <c r="A844" s="2" t="s">
        <v>857</v>
      </c>
      <c r="B844" s="38">
        <v>46057</v>
      </c>
      <c r="C844" s="1">
        <v>1</v>
      </c>
      <c r="D844" s="1" t="s">
        <v>824</v>
      </c>
      <c r="E844" s="1" t="s">
        <v>614</v>
      </c>
      <c r="F844" s="8" t="s">
        <v>642</v>
      </c>
      <c r="G844" s="6">
        <v>150889</v>
      </c>
      <c r="H844" s="6"/>
      <c r="I844" s="6"/>
      <c r="J844" s="7"/>
      <c r="K844" s="73"/>
      <c r="L844" s="73"/>
      <c r="M844" s="73"/>
      <c r="N844" s="73"/>
      <c r="O844" s="3" t="str">
        <f>IF(C844="","",IF(C844=5,IFERROR(INDEX(code_Note1!$F$13:$F$16,MATCH(E844,code_Note1!$E$13:$E$16,0)),INDEX(code_Note1!$F$16,1)),IF(B844&lt;code_Note1!$D$21,"No",IFERROR(VLOOKUP(C844,code_Note1!$D$3:$G$8,3,FALSE),""))))</f>
        <v>Yes</v>
      </c>
      <c r="P844" s="3" t="s">
        <v>832</v>
      </c>
    </row>
    <row r="845" spans="1:16" ht="19.5" customHeight="1">
      <c r="A845" s="2" t="s">
        <v>854</v>
      </c>
      <c r="B845" s="38">
        <v>46060</v>
      </c>
      <c r="C845" s="1" t="s">
        <v>844</v>
      </c>
      <c r="D845" s="1" t="s">
        <v>826</v>
      </c>
      <c r="E845" s="28" t="s">
        <v>130</v>
      </c>
      <c r="F845" s="8" t="s">
        <v>625</v>
      </c>
      <c r="G845" s="6">
        <v>200000</v>
      </c>
      <c r="H845" s="6"/>
      <c r="I845" s="6"/>
      <c r="J845" s="7"/>
      <c r="K845" s="73"/>
      <c r="L845" s="73"/>
      <c r="M845" s="73"/>
      <c r="N845" s="73"/>
      <c r="O845" s="3" t="str">
        <f>IF(C845="","",IF(C845=5,IFERROR(INDEX(code_Note1!$F$13:$F$16,MATCH(E845,code_Note1!$E$13:$E$16,0)),INDEX(code_Note1!$F$16,1)),IF(B845&lt;code_Note1!$D$21,"No",IFERROR(VLOOKUP(C845,code_Note1!$D$3:$G$8,3,FALSE),""))))</f>
        <v>No</v>
      </c>
      <c r="P845" s="3" t="s">
        <v>833</v>
      </c>
    </row>
    <row r="846" spans="1:16" ht="19.5" customHeight="1">
      <c r="A846" s="2" t="s">
        <v>857</v>
      </c>
      <c r="B846" s="38">
        <v>46060</v>
      </c>
      <c r="C846" s="1">
        <v>3</v>
      </c>
      <c r="D846" s="1" t="s">
        <v>823</v>
      </c>
      <c r="E846" s="1" t="s">
        <v>12</v>
      </c>
      <c r="F846" s="8" t="s">
        <v>643</v>
      </c>
      <c r="G846" s="6">
        <v>84500</v>
      </c>
      <c r="H846" s="6"/>
      <c r="I846" s="6"/>
      <c r="J846" s="7"/>
      <c r="K846" s="73"/>
      <c r="L846" s="73"/>
      <c r="M846" s="73"/>
      <c r="N846" s="73"/>
      <c r="O846" s="3" t="str">
        <f>IF(C846="","",IF(C846=5,IFERROR(INDEX(code_Note1!$F$13:$F$16,MATCH(E846,code_Note1!$E$13:$E$16,0)),INDEX(code_Note1!$F$16,1)),IF(B846&lt;code_Note1!$D$21,"No",IFERROR(VLOOKUP(C846,code_Note1!$D$3:$G$8,3,FALSE),""))))</f>
        <v>yes</v>
      </c>
      <c r="P846" s="3" t="s">
        <v>832</v>
      </c>
    </row>
    <row r="847" spans="1:16" ht="19.5" customHeight="1">
      <c r="A847" s="2" t="s">
        <v>854</v>
      </c>
      <c r="B847" s="38">
        <v>46061</v>
      </c>
      <c r="C847" s="1">
        <v>2</v>
      </c>
      <c r="D847" s="1" t="s">
        <v>838</v>
      </c>
      <c r="E847" s="1" t="s">
        <v>645</v>
      </c>
      <c r="F847" s="8" t="s">
        <v>644</v>
      </c>
      <c r="G847" s="6">
        <v>360000</v>
      </c>
      <c r="H847" s="6"/>
      <c r="I847" s="6"/>
      <c r="J847" s="7"/>
      <c r="K847" s="73"/>
      <c r="L847" s="73"/>
      <c r="M847" s="73"/>
      <c r="N847" s="73"/>
      <c r="O847" s="3" t="str">
        <f>IF(C847="","",IF(C847=5,IFERROR(INDEX(code_Note1!$F$13:$F$16,MATCH(E847,code_Note1!$E$13:$E$16,0)),INDEX(code_Note1!$F$16,1)),IF(B847&lt;code_Note1!$D$21,"No",IFERROR(VLOOKUP(C847,code_Note1!$D$3:$G$8,3,FALSE),""))))</f>
        <v>No</v>
      </c>
      <c r="P847" s="3" t="s">
        <v>831</v>
      </c>
    </row>
    <row r="848" spans="1:16" ht="19.5" customHeight="1">
      <c r="A848" s="2" t="s">
        <v>857</v>
      </c>
      <c r="B848" s="38">
        <v>46062</v>
      </c>
      <c r="C848" s="1">
        <v>1</v>
      </c>
      <c r="D848" s="1" t="s">
        <v>824</v>
      </c>
      <c r="E848" s="1" t="s">
        <v>647</v>
      </c>
      <c r="F848" s="8" t="s">
        <v>646</v>
      </c>
      <c r="G848" s="6">
        <v>141000</v>
      </c>
      <c r="H848" s="6"/>
      <c r="I848" s="6"/>
      <c r="J848" s="7"/>
      <c r="K848" s="73"/>
      <c r="L848" s="73"/>
      <c r="M848" s="73"/>
      <c r="N848" s="73"/>
      <c r="O848" s="3" t="str">
        <f>IF(C848="","",IF(C848=5,IFERROR(INDEX(code_Note1!$F$13:$F$16,MATCH(E848,code_Note1!$E$13:$E$16,0)),INDEX(code_Note1!$F$16,1)),IF(B848&lt;code_Note1!$D$21,"No",IFERROR(VLOOKUP(C848,code_Note1!$D$3:$G$8,3,FALSE),""))))</f>
        <v>Yes</v>
      </c>
      <c r="P848" s="3" t="s">
        <v>832</v>
      </c>
    </row>
    <row r="849" spans="1:16" ht="19.5" customHeight="1">
      <c r="A849" s="2" t="s">
        <v>857</v>
      </c>
      <c r="B849" s="38">
        <v>46062</v>
      </c>
      <c r="C849" s="1">
        <v>1</v>
      </c>
      <c r="D849" s="1" t="s">
        <v>824</v>
      </c>
      <c r="E849" s="1" t="s">
        <v>647</v>
      </c>
      <c r="F849" s="8" t="s">
        <v>648</v>
      </c>
      <c r="G849" s="6">
        <v>300000</v>
      </c>
      <c r="H849" s="6"/>
      <c r="I849" s="6"/>
      <c r="J849" s="7"/>
      <c r="K849" s="73"/>
      <c r="L849" s="73"/>
      <c r="M849" s="73"/>
      <c r="N849" s="73"/>
      <c r="O849" s="3" t="str">
        <f>IF(C849="","",IF(C849=5,IFERROR(INDEX(code_Note1!$F$13:$F$16,MATCH(E849,code_Note1!$E$13:$E$16,0)),INDEX(code_Note1!$F$16,1)),IF(B849&lt;code_Note1!$D$21,"No",IFERROR(VLOOKUP(C849,code_Note1!$D$3:$G$8,3,FALSE),""))))</f>
        <v>Yes</v>
      </c>
      <c r="P849" s="3" t="s">
        <v>832</v>
      </c>
    </row>
    <row r="850" spans="1:16" ht="19.5" customHeight="1">
      <c r="A850" s="2" t="s">
        <v>857</v>
      </c>
      <c r="B850" s="38">
        <v>46062</v>
      </c>
      <c r="C850" s="1">
        <v>1</v>
      </c>
      <c r="D850" s="1" t="s">
        <v>824</v>
      </c>
      <c r="E850" s="1" t="s">
        <v>647</v>
      </c>
      <c r="F850" s="8" t="s">
        <v>649</v>
      </c>
      <c r="G850" s="6">
        <v>350000</v>
      </c>
      <c r="H850" s="6"/>
      <c r="I850" s="6"/>
      <c r="J850" s="7"/>
      <c r="K850" s="73"/>
      <c r="L850" s="73"/>
      <c r="M850" s="73"/>
      <c r="N850" s="73"/>
      <c r="O850" s="3" t="str">
        <f>IF(C850="","",IF(C850=5,IFERROR(INDEX(code_Note1!$F$13:$F$16,MATCH(E850,code_Note1!$E$13:$E$16,0)),INDEX(code_Note1!$F$16,1)),IF(B850&lt;code_Note1!$D$21,"No",IFERROR(VLOOKUP(C850,code_Note1!$D$3:$G$8,3,FALSE),""))))</f>
        <v>Yes</v>
      </c>
      <c r="P850" s="3" t="s">
        <v>832</v>
      </c>
    </row>
    <row r="851" spans="1:16" ht="19.5" customHeight="1">
      <c r="A851" s="2" t="s">
        <v>854</v>
      </c>
      <c r="B851" s="38">
        <v>46064</v>
      </c>
      <c r="C851" s="1">
        <v>2</v>
      </c>
      <c r="D851" s="1" t="s">
        <v>838</v>
      </c>
      <c r="E851" s="1" t="s">
        <v>34</v>
      </c>
      <c r="F851" s="8" t="s">
        <v>34</v>
      </c>
      <c r="G851" s="6">
        <v>3008000</v>
      </c>
      <c r="H851" s="6"/>
      <c r="I851" s="6"/>
      <c r="J851" s="7"/>
      <c r="K851" s="73"/>
      <c r="L851" s="73"/>
      <c r="M851" s="73"/>
      <c r="N851" s="73"/>
      <c r="O851" s="3" t="str">
        <f>IF(C851="","",IF(C851=5,IFERROR(INDEX(code_Note1!$F$13:$F$16,MATCH(E851,code_Note1!$E$13:$E$16,0)),INDEX(code_Note1!$F$16,1)),IF(B851&lt;code_Note1!$D$21,"No",IFERROR(VLOOKUP(C851,code_Note1!$D$3:$G$8,3,FALSE),""))))</f>
        <v>No</v>
      </c>
      <c r="P851" s="3" t="s">
        <v>831</v>
      </c>
    </row>
    <row r="852" spans="1:16" ht="19.5" customHeight="1">
      <c r="A852" s="2" t="s">
        <v>854</v>
      </c>
      <c r="B852" s="38">
        <v>46065</v>
      </c>
      <c r="C852" s="1">
        <v>2</v>
      </c>
      <c r="D852" s="1" t="s">
        <v>838</v>
      </c>
      <c r="E852" s="1" t="s">
        <v>111</v>
      </c>
      <c r="F852" s="8" t="s">
        <v>650</v>
      </c>
      <c r="G852" s="6">
        <v>840000</v>
      </c>
      <c r="H852" s="6"/>
      <c r="I852" s="6"/>
      <c r="J852" s="7"/>
      <c r="K852" s="73"/>
      <c r="L852" s="73"/>
      <c r="M852" s="73"/>
      <c r="N852" s="73"/>
      <c r="O852" s="3" t="str">
        <f>IF(C852="","",IF(C852=5,IFERROR(INDEX(code_Note1!$F$13:$F$16,MATCH(E852,code_Note1!$E$13:$E$16,0)),INDEX(code_Note1!$F$16,1)),IF(B852&lt;code_Note1!$D$21,"No",IFERROR(VLOOKUP(C852,code_Note1!$D$3:$G$8,3,FALSE),""))))</f>
        <v>No</v>
      </c>
      <c r="P852" s="3" t="s">
        <v>831</v>
      </c>
    </row>
    <row r="853" spans="1:16" ht="19.5" customHeight="1">
      <c r="A853" s="2" t="s">
        <v>854</v>
      </c>
      <c r="B853" s="38">
        <v>46065</v>
      </c>
      <c r="C853" s="1">
        <v>2</v>
      </c>
      <c r="D853" s="1" t="s">
        <v>838</v>
      </c>
      <c r="E853" s="1" t="s">
        <v>111</v>
      </c>
      <c r="F853" s="8" t="s">
        <v>651</v>
      </c>
      <c r="G853" s="6">
        <v>750000</v>
      </c>
      <c r="H853" s="6"/>
      <c r="I853" s="6"/>
      <c r="J853" s="7"/>
      <c r="K853" s="73"/>
      <c r="L853" s="73"/>
      <c r="M853" s="73"/>
      <c r="N853" s="73"/>
      <c r="O853" s="3" t="str">
        <f>IF(C853="","",IF(C853=5,IFERROR(INDEX(code_Note1!$F$13:$F$16,MATCH(E853,code_Note1!$E$13:$E$16,0)),INDEX(code_Note1!$F$16,1)),IF(B853&lt;code_Note1!$D$21,"No",IFERROR(VLOOKUP(C853,code_Note1!$D$3:$G$8,3,FALSE),""))))</f>
        <v>No</v>
      </c>
      <c r="P853" s="3" t="s">
        <v>831</v>
      </c>
    </row>
    <row r="854" spans="1:16" ht="19.5" customHeight="1">
      <c r="A854" s="2" t="s">
        <v>857</v>
      </c>
      <c r="B854" s="38">
        <v>46066</v>
      </c>
      <c r="C854" s="1">
        <v>1</v>
      </c>
      <c r="D854" s="1" t="s">
        <v>824</v>
      </c>
      <c r="E854" s="1" t="s">
        <v>332</v>
      </c>
      <c r="F854" s="8" t="s">
        <v>652</v>
      </c>
      <c r="G854" s="6">
        <v>700000</v>
      </c>
      <c r="H854" s="6"/>
      <c r="I854" s="6"/>
      <c r="J854" s="7"/>
      <c r="K854" s="73"/>
      <c r="L854" s="73"/>
      <c r="M854" s="73"/>
      <c r="N854" s="73"/>
      <c r="O854" s="3" t="str">
        <f>IF(C854="","",IF(C854=5,IFERROR(INDEX(code_Note1!$F$13:$F$16,MATCH(E854,code_Note1!$E$13:$E$16,0)),INDEX(code_Note1!$F$16,1)),IF(B854&lt;code_Note1!$D$21,"No",IFERROR(VLOOKUP(C854,code_Note1!$D$3:$G$8,3,FALSE),""))))</f>
        <v>Yes</v>
      </c>
      <c r="P854" s="3" t="s">
        <v>832</v>
      </c>
    </row>
    <row r="855" spans="1:16" ht="19.5" customHeight="1">
      <c r="A855" s="2" t="s">
        <v>857</v>
      </c>
      <c r="B855" s="38">
        <v>46066</v>
      </c>
      <c r="C855" s="1">
        <v>1</v>
      </c>
      <c r="D855" s="1" t="s">
        <v>824</v>
      </c>
      <c r="E855" s="27" t="s">
        <v>62</v>
      </c>
      <c r="F855" s="8" t="s">
        <v>653</v>
      </c>
      <c r="G855" s="6">
        <v>0</v>
      </c>
      <c r="H855" s="6"/>
      <c r="I855" s="6"/>
      <c r="J855" s="7"/>
      <c r="K855" s="73">
        <v>39607000</v>
      </c>
      <c r="L855" s="73"/>
      <c r="M855" s="73"/>
      <c r="N855" s="73"/>
      <c r="O855" s="3" t="str">
        <f>IF(C855="","",IF(C855=5,IFERROR(INDEX(code_Note1!$F$13:$F$16,MATCH(E855,code_Note1!$E$13:$E$16,0)),INDEX(code_Note1!$F$16,1)),IF(B855&lt;code_Note1!$D$21,"No",IFERROR(VLOOKUP(C855,code_Note1!$D$3:$G$8,3,FALSE),""))))</f>
        <v>Yes</v>
      </c>
      <c r="P855" s="3" t="s">
        <v>832</v>
      </c>
    </row>
    <row r="856" spans="1:16" ht="19.5" customHeight="1">
      <c r="A856" s="2" t="s">
        <v>857</v>
      </c>
      <c r="B856" s="38">
        <v>46066</v>
      </c>
      <c r="C856" s="1">
        <v>1</v>
      </c>
      <c r="D856" s="1" t="s">
        <v>824</v>
      </c>
      <c r="E856" s="27" t="s">
        <v>62</v>
      </c>
      <c r="F856" s="8" t="s">
        <v>63</v>
      </c>
      <c r="G856" s="6">
        <v>2160600</v>
      </c>
      <c r="H856" s="6"/>
      <c r="I856" s="6"/>
      <c r="J856" s="7"/>
      <c r="K856" s="73"/>
      <c r="L856" s="73"/>
      <c r="M856" s="73"/>
      <c r="N856" s="73"/>
      <c r="O856" s="3" t="str">
        <f>IF(C856="","",IF(C856=5,IFERROR(INDEX(code_Note1!$F$13:$F$16,MATCH(E856,code_Note1!$E$13:$E$16,0)),INDEX(code_Note1!$F$16,1)),IF(B856&lt;code_Note1!$D$21,"No",IFERROR(VLOOKUP(C856,code_Note1!$D$3:$G$8,3,FALSE),""))))</f>
        <v>Yes</v>
      </c>
      <c r="P856" s="3" t="s">
        <v>832</v>
      </c>
    </row>
    <row r="857" spans="1:16" ht="19.5" customHeight="1">
      <c r="A857" s="2" t="s">
        <v>857</v>
      </c>
      <c r="B857" s="38">
        <v>46067</v>
      </c>
      <c r="C857" s="1">
        <v>3</v>
      </c>
      <c r="D857" s="1" t="s">
        <v>823</v>
      </c>
      <c r="E857" s="1" t="s">
        <v>12</v>
      </c>
      <c r="F857" s="8" t="s">
        <v>210</v>
      </c>
      <c r="G857" s="6">
        <v>1225000</v>
      </c>
      <c r="H857" s="6"/>
      <c r="I857" s="6"/>
      <c r="J857" s="7"/>
      <c r="K857" s="73"/>
      <c r="L857" s="73"/>
      <c r="M857" s="73"/>
      <c r="N857" s="73"/>
      <c r="O857" s="3" t="str">
        <f>IF(C857="","",IF(C857=5,IFERROR(INDEX(code_Note1!$F$13:$F$16,MATCH(E857,code_Note1!$E$13:$E$16,0)),INDEX(code_Note1!$F$16,1)),IF(B857&lt;code_Note1!$D$21,"No",IFERROR(VLOOKUP(C857,code_Note1!$D$3:$G$8,3,FALSE),""))))</f>
        <v>yes</v>
      </c>
      <c r="P857" s="3" t="s">
        <v>832</v>
      </c>
    </row>
    <row r="858" spans="1:16" ht="19.5" customHeight="1">
      <c r="A858" s="2" t="s">
        <v>857</v>
      </c>
      <c r="B858" s="38">
        <v>46068</v>
      </c>
      <c r="C858" s="1">
        <v>1</v>
      </c>
      <c r="D858" s="1" t="s">
        <v>824</v>
      </c>
      <c r="E858" s="1" t="s">
        <v>655</v>
      </c>
      <c r="F858" s="8" t="s">
        <v>654</v>
      </c>
      <c r="G858" s="6">
        <v>200000</v>
      </c>
      <c r="H858" s="6"/>
      <c r="I858" s="6"/>
      <c r="J858" s="7"/>
      <c r="K858" s="73"/>
      <c r="L858" s="73"/>
      <c r="M858" s="73"/>
      <c r="N858" s="73"/>
      <c r="O858" s="3" t="str">
        <f>IF(C858="","",IF(C858=5,IFERROR(INDEX(code_Note1!$F$13:$F$16,MATCH(E858,code_Note1!$E$13:$E$16,0)),INDEX(code_Note1!$F$16,1)),IF(B858&lt;code_Note1!$D$21,"No",IFERROR(VLOOKUP(C858,code_Note1!$D$3:$G$8,3,FALSE),""))))</f>
        <v>Yes</v>
      </c>
      <c r="P858" s="3" t="s">
        <v>832</v>
      </c>
    </row>
    <row r="859" spans="1:16" ht="19.5" customHeight="1">
      <c r="A859" s="2" t="s">
        <v>857</v>
      </c>
      <c r="B859" s="38">
        <v>46068</v>
      </c>
      <c r="C859" s="1">
        <v>5</v>
      </c>
      <c r="D859" s="1" t="s">
        <v>657</v>
      </c>
      <c r="E859" s="1" t="s">
        <v>657</v>
      </c>
      <c r="F859" s="8" t="s">
        <v>656</v>
      </c>
      <c r="G859" s="6">
        <v>0</v>
      </c>
      <c r="H859" s="6"/>
      <c r="I859" s="6"/>
      <c r="J859" s="7"/>
      <c r="K859" s="73"/>
      <c r="L859" s="73"/>
      <c r="M859" s="73"/>
      <c r="N859" s="73"/>
      <c r="O859" s="3" t="str">
        <f>IF(C859="","",IF(C859=5,IFERROR(INDEX(code_Note1!$F$13:$F$16,MATCH(E859,code_Note1!$E$13:$E$16,0)),INDEX(code_Note1!$F$16,1)),IF(B859&lt;code_Note1!$D$21,"No",IFERROR(VLOOKUP(C859,code_Note1!$D$3:$G$8,3,FALSE),""))))</f>
        <v>Yes</v>
      </c>
      <c r="P859" s="3" t="s">
        <v>831</v>
      </c>
    </row>
    <row r="860" spans="1:16" ht="19.5" customHeight="1">
      <c r="A860" s="2" t="s">
        <v>857</v>
      </c>
      <c r="B860" s="38">
        <v>46068</v>
      </c>
      <c r="C860" s="1">
        <v>5</v>
      </c>
      <c r="D860" s="1" t="s">
        <v>657</v>
      </c>
      <c r="E860" s="1" t="s">
        <v>657</v>
      </c>
      <c r="F860" s="8" t="s">
        <v>658</v>
      </c>
      <c r="G860" s="6">
        <v>0</v>
      </c>
      <c r="H860" s="6"/>
      <c r="I860" s="6"/>
      <c r="J860" s="7"/>
      <c r="K860" s="73"/>
      <c r="L860" s="73"/>
      <c r="M860" s="73"/>
      <c r="N860" s="73"/>
      <c r="O860" s="3" t="str">
        <f>IF(C860="","",IF(C860=5,IFERROR(INDEX(code_Note1!$F$13:$F$16,MATCH(E860,code_Note1!$E$13:$E$16,0)),INDEX(code_Note1!$F$16,1)),IF(B860&lt;code_Note1!$D$21,"No",IFERROR(VLOOKUP(C860,code_Note1!$D$3:$G$8,3,FALSE),""))))</f>
        <v>Yes</v>
      </c>
      <c r="P860" s="3" t="s">
        <v>831</v>
      </c>
    </row>
    <row r="861" spans="1:16" ht="19.5" customHeight="1">
      <c r="A861" s="2" t="s">
        <v>854</v>
      </c>
      <c r="B861" s="38">
        <v>46068</v>
      </c>
      <c r="C861" s="1">
        <v>2</v>
      </c>
      <c r="D861" s="1" t="s">
        <v>838</v>
      </c>
      <c r="E861" s="1" t="s">
        <v>46</v>
      </c>
      <c r="F861" s="8" t="s">
        <v>659</v>
      </c>
      <c r="G861" s="6">
        <v>4150000</v>
      </c>
      <c r="H861" s="6"/>
      <c r="I861" s="6"/>
      <c r="J861" s="7"/>
      <c r="K861" s="73"/>
      <c r="L861" s="73"/>
      <c r="M861" s="73"/>
      <c r="N861" s="73"/>
      <c r="O861" s="3" t="str">
        <f>IF(C861="","",IF(C861=5,IFERROR(INDEX(code_Note1!$F$13:$F$16,MATCH(E861,code_Note1!$E$13:$E$16,0)),INDEX(code_Note1!$F$16,1)),IF(B861&lt;code_Note1!$D$21,"No",IFERROR(VLOOKUP(C861,code_Note1!$D$3:$G$8,3,FALSE),""))))</f>
        <v>No</v>
      </c>
      <c r="P861" s="3" t="s">
        <v>831</v>
      </c>
    </row>
    <row r="862" spans="1:16" ht="19.5" customHeight="1">
      <c r="A862" s="2" t="s">
        <v>857</v>
      </c>
      <c r="B862" s="38">
        <v>46068</v>
      </c>
      <c r="C862" s="1">
        <v>1</v>
      </c>
      <c r="D862" s="1" t="s">
        <v>824</v>
      </c>
      <c r="E862" s="1" t="s">
        <v>54</v>
      </c>
      <c r="F862" s="8" t="s">
        <v>660</v>
      </c>
      <c r="G862" s="6">
        <v>70000</v>
      </c>
      <c r="H862" s="6"/>
      <c r="I862" s="6"/>
      <c r="J862" s="7"/>
      <c r="K862" s="73"/>
      <c r="L862" s="73"/>
      <c r="M862" s="73"/>
      <c r="N862" s="73"/>
      <c r="O862" s="3" t="str">
        <f>IF(C862="","",IF(C862=5,IFERROR(INDEX(code_Note1!$F$13:$F$16,MATCH(E862,code_Note1!$E$13:$E$16,0)),INDEX(code_Note1!$F$16,1)),IF(B862&lt;code_Note1!$D$21,"No",IFERROR(VLOOKUP(C862,code_Note1!$D$3:$G$8,3,FALSE),""))))</f>
        <v>Yes</v>
      </c>
      <c r="P862" s="3" t="s">
        <v>832</v>
      </c>
    </row>
    <row r="863" spans="1:16" ht="19.5" customHeight="1">
      <c r="A863" s="2" t="s">
        <v>854</v>
      </c>
      <c r="B863" s="38">
        <v>46068</v>
      </c>
      <c r="C863" s="1">
        <v>2</v>
      </c>
      <c r="D863" s="1" t="s">
        <v>838</v>
      </c>
      <c r="E863" s="1" t="s">
        <v>21</v>
      </c>
      <c r="F863" s="8" t="s">
        <v>661</v>
      </c>
      <c r="G863" s="6">
        <v>556000</v>
      </c>
      <c r="H863" s="6"/>
      <c r="I863" s="6"/>
      <c r="J863" s="7"/>
      <c r="K863" s="73"/>
      <c r="L863" s="73"/>
      <c r="M863" s="73"/>
      <c r="N863" s="73"/>
      <c r="O863" s="3" t="str">
        <f>IF(C863="","",IF(C863=5,IFERROR(INDEX(code_Note1!$F$13:$F$16,MATCH(E863,code_Note1!$E$13:$E$16,0)),INDEX(code_Note1!$F$16,1)),IF(B863&lt;code_Note1!$D$21,"No",IFERROR(VLOOKUP(C863,code_Note1!$D$3:$G$8,3,FALSE),""))))</f>
        <v>No</v>
      </c>
      <c r="P863" s="3" t="s">
        <v>831</v>
      </c>
    </row>
    <row r="864" spans="1:16" ht="19.5" customHeight="1">
      <c r="A864" s="2" t="s">
        <v>857</v>
      </c>
      <c r="B864" s="38">
        <v>46068</v>
      </c>
      <c r="C864" s="1">
        <v>1</v>
      </c>
      <c r="D864" s="1" t="s">
        <v>824</v>
      </c>
      <c r="E864" s="1" t="s">
        <v>655</v>
      </c>
      <c r="F864" s="8" t="s">
        <v>654</v>
      </c>
      <c r="G864" s="6">
        <v>200000</v>
      </c>
      <c r="H864" s="6"/>
      <c r="I864" s="6"/>
      <c r="J864" s="7"/>
      <c r="K864" s="73"/>
      <c r="L864" s="73"/>
      <c r="M864" s="73"/>
      <c r="N864" s="73"/>
      <c r="O864" s="3" t="str">
        <f>IF(C864="","",IF(C864=5,IFERROR(INDEX(code_Note1!$F$13:$F$16,MATCH(E864,code_Note1!$E$13:$E$16,0)),INDEX(code_Note1!$F$16,1)),IF(B864&lt;code_Note1!$D$21,"No",IFERROR(VLOOKUP(C864,code_Note1!$D$3:$G$8,3,FALSE),""))))</f>
        <v>Yes</v>
      </c>
      <c r="P864" s="3" t="s">
        <v>832</v>
      </c>
    </row>
    <row r="865" spans="1:16" ht="19.5" customHeight="1">
      <c r="A865" s="2" t="s">
        <v>857</v>
      </c>
      <c r="B865" s="38">
        <v>46069</v>
      </c>
      <c r="C865" s="1">
        <v>1</v>
      </c>
      <c r="D865" s="1" t="s">
        <v>824</v>
      </c>
      <c r="E865" s="1" t="s">
        <v>663</v>
      </c>
      <c r="F865" s="8" t="s">
        <v>662</v>
      </c>
      <c r="G865" s="6">
        <v>950000</v>
      </c>
      <c r="H865" s="6"/>
      <c r="I865" s="6"/>
      <c r="J865" s="7"/>
      <c r="K865" s="73"/>
      <c r="L865" s="73"/>
      <c r="M865" s="73"/>
      <c r="N865" s="73"/>
      <c r="O865" s="3" t="str">
        <f>IF(C865="","",IF(C865=5,IFERROR(INDEX(code_Note1!$F$13:$F$16,MATCH(E865,code_Note1!$E$13:$E$16,0)),INDEX(code_Note1!$F$16,1)),IF(B865&lt;code_Note1!$D$21,"No",IFERROR(VLOOKUP(C865,code_Note1!$D$3:$G$8,3,FALSE),""))))</f>
        <v>Yes</v>
      </c>
      <c r="P865" s="3" t="s">
        <v>832</v>
      </c>
    </row>
    <row r="866" spans="1:16" ht="19.5" customHeight="1">
      <c r="A866" s="2" t="s">
        <v>857</v>
      </c>
      <c r="B866" s="38">
        <v>46069</v>
      </c>
      <c r="C866" s="1">
        <v>1</v>
      </c>
      <c r="D866" s="1" t="s">
        <v>824</v>
      </c>
      <c r="E866" s="1" t="s">
        <v>663</v>
      </c>
      <c r="F866" s="8" t="s">
        <v>664</v>
      </c>
      <c r="G866" s="6">
        <v>1300000</v>
      </c>
      <c r="H866" s="6"/>
      <c r="I866" s="6"/>
      <c r="J866" s="7"/>
      <c r="K866" s="73"/>
      <c r="L866" s="73"/>
      <c r="M866" s="73"/>
      <c r="N866" s="73"/>
      <c r="O866" s="3" t="str">
        <f>IF(C866="","",IF(C866=5,IFERROR(INDEX(code_Note1!$F$13:$F$16,MATCH(E866,code_Note1!$E$13:$E$16,0)),INDEX(code_Note1!$F$16,1)),IF(B866&lt;code_Note1!$D$21,"No",IFERROR(VLOOKUP(C866,code_Note1!$D$3:$G$8,3,FALSE),""))))</f>
        <v>Yes</v>
      </c>
      <c r="P866" s="3" t="s">
        <v>832</v>
      </c>
    </row>
    <row r="867" spans="1:16" ht="19.5" customHeight="1">
      <c r="A867" s="2" t="s">
        <v>857</v>
      </c>
      <c r="B867" s="38">
        <v>46069</v>
      </c>
      <c r="C867" s="1">
        <v>5</v>
      </c>
      <c r="D867" s="1" t="s">
        <v>657</v>
      </c>
      <c r="E867" s="1" t="s">
        <v>657</v>
      </c>
      <c r="F867" s="8" t="s">
        <v>665</v>
      </c>
      <c r="G867" s="6">
        <v>0</v>
      </c>
      <c r="H867" s="6"/>
      <c r="I867" s="6"/>
      <c r="J867" s="7"/>
      <c r="K867" s="73">
        <v>440000</v>
      </c>
      <c r="L867" s="73"/>
      <c r="M867" s="73"/>
      <c r="N867" s="73"/>
      <c r="O867" s="3" t="str">
        <f>IF(C867="","",IF(C867=5,IFERROR(INDEX(code_Note1!$F$13:$F$16,MATCH(E867,code_Note1!$E$13:$E$16,0)),INDEX(code_Note1!$F$16,1)),IF(B867&lt;code_Note1!$D$21,"No",IFERROR(VLOOKUP(C867,code_Note1!$D$3:$G$8,3,FALSE),""))))</f>
        <v>Yes</v>
      </c>
      <c r="P867" s="3" t="s">
        <v>831</v>
      </c>
    </row>
    <row r="868" spans="1:16" ht="19.5" customHeight="1">
      <c r="A868" s="2" t="s">
        <v>857</v>
      </c>
      <c r="B868" s="38">
        <v>46069</v>
      </c>
      <c r="C868" s="1">
        <v>3</v>
      </c>
      <c r="D868" s="1" t="s">
        <v>823</v>
      </c>
      <c r="E868" s="1" t="s">
        <v>44</v>
      </c>
      <c r="F868" s="8" t="s">
        <v>666</v>
      </c>
      <c r="G868" s="6">
        <v>192000</v>
      </c>
      <c r="H868" s="6"/>
      <c r="I868" s="6"/>
      <c r="J868" s="7"/>
      <c r="K868" s="73"/>
      <c r="L868" s="73"/>
      <c r="M868" s="73"/>
      <c r="N868" s="73"/>
      <c r="O868" s="3" t="str">
        <f>IF(C868="","",IF(C868=5,IFERROR(INDEX(code_Note1!$F$13:$F$16,MATCH(E868,code_Note1!$E$13:$E$16,0)),INDEX(code_Note1!$F$16,1)),IF(B868&lt;code_Note1!$D$21,"No",IFERROR(VLOOKUP(C868,code_Note1!$D$3:$G$8,3,FALSE),""))))</f>
        <v>yes</v>
      </c>
      <c r="P868" s="3" t="s">
        <v>832</v>
      </c>
    </row>
    <row r="869" spans="1:16" ht="19.5" customHeight="1">
      <c r="A869" s="2" t="s">
        <v>857</v>
      </c>
      <c r="B869" s="38">
        <v>46070</v>
      </c>
      <c r="C869" s="1">
        <v>5</v>
      </c>
      <c r="D869" s="1" t="s">
        <v>657</v>
      </c>
      <c r="E869" s="1" t="s">
        <v>657</v>
      </c>
      <c r="F869" s="8" t="s">
        <v>667</v>
      </c>
      <c r="G869" s="6">
        <v>0</v>
      </c>
      <c r="H869" s="6"/>
      <c r="I869" s="6"/>
      <c r="J869" s="7"/>
      <c r="K869" s="73">
        <v>11000000</v>
      </c>
      <c r="L869" s="73"/>
      <c r="M869" s="73"/>
      <c r="N869" s="73"/>
      <c r="O869" s="3" t="str">
        <f>IF(C869="","",IF(C869=5,IFERROR(INDEX(code_Note1!$F$13:$F$16,MATCH(E869,code_Note1!$E$13:$E$16,0)),INDEX(code_Note1!$F$16,1)),IF(B869&lt;code_Note1!$D$21,"No",IFERROR(VLOOKUP(C869,code_Note1!$D$3:$G$8,3,FALSE),""))))</f>
        <v>Yes</v>
      </c>
      <c r="P869" s="3" t="s">
        <v>831</v>
      </c>
    </row>
    <row r="870" spans="1:16" ht="19.5" customHeight="1">
      <c r="A870" s="2" t="s">
        <v>857</v>
      </c>
      <c r="B870" s="38">
        <v>46070</v>
      </c>
      <c r="C870" s="1">
        <v>5</v>
      </c>
      <c r="D870" s="1" t="s">
        <v>657</v>
      </c>
      <c r="E870" s="1" t="s">
        <v>657</v>
      </c>
      <c r="F870" s="8" t="s">
        <v>668</v>
      </c>
      <c r="G870" s="6">
        <v>0</v>
      </c>
      <c r="H870" s="6"/>
      <c r="I870" s="6"/>
      <c r="J870" s="7"/>
      <c r="K870" s="73">
        <v>7700000</v>
      </c>
      <c r="L870" s="73"/>
      <c r="M870" s="73"/>
      <c r="N870" s="73"/>
      <c r="O870" s="3" t="str">
        <f>IF(C870="","",IF(C870=5,IFERROR(INDEX(code_Note1!$F$13:$F$16,MATCH(E870,code_Note1!$E$13:$E$16,0)),INDEX(code_Note1!$F$16,1)),IF(B870&lt;code_Note1!$D$21,"No",IFERROR(VLOOKUP(C870,code_Note1!$D$3:$G$8,3,FALSE),""))))</f>
        <v>Yes</v>
      </c>
      <c r="P870" s="3" t="s">
        <v>831</v>
      </c>
    </row>
    <row r="871" spans="1:16" ht="19.5" customHeight="1">
      <c r="A871" s="2" t="s">
        <v>857</v>
      </c>
      <c r="B871" s="38">
        <v>46070</v>
      </c>
      <c r="C871" s="1">
        <v>1</v>
      </c>
      <c r="D871" s="1" t="s">
        <v>824</v>
      </c>
      <c r="E871" s="1" t="s">
        <v>663</v>
      </c>
      <c r="F871" s="8" t="s">
        <v>669</v>
      </c>
      <c r="G871" s="6">
        <v>600000</v>
      </c>
      <c r="H871" s="6"/>
      <c r="I871" s="6"/>
      <c r="J871" s="7"/>
      <c r="K871" s="73"/>
      <c r="L871" s="73"/>
      <c r="M871" s="73"/>
      <c r="N871" s="73"/>
      <c r="O871" s="3" t="str">
        <f>IF(C871="","",IF(C871=5,IFERROR(INDEX(code_Note1!$F$13:$F$16,MATCH(E871,code_Note1!$E$13:$E$16,0)),INDEX(code_Note1!$F$16,1)),IF(B871&lt;code_Note1!$D$21,"No",IFERROR(VLOOKUP(C871,code_Note1!$D$3:$G$8,3,FALSE),""))))</f>
        <v>Yes</v>
      </c>
      <c r="P871" s="3" t="s">
        <v>832</v>
      </c>
    </row>
    <row r="872" spans="1:16" ht="19.5" customHeight="1">
      <c r="A872" s="2" t="s">
        <v>854</v>
      </c>
      <c r="B872" s="38">
        <v>46070</v>
      </c>
      <c r="C872" s="1">
        <v>2</v>
      </c>
      <c r="D872" s="1" t="s">
        <v>838</v>
      </c>
      <c r="E872" s="1" t="s">
        <v>76</v>
      </c>
      <c r="F872" s="8" t="s">
        <v>670</v>
      </c>
      <c r="G872" s="6">
        <v>1500000</v>
      </c>
      <c r="H872" s="6"/>
      <c r="I872" s="6"/>
      <c r="J872" s="7"/>
      <c r="K872" s="73"/>
      <c r="L872" s="73"/>
      <c r="M872" s="73"/>
      <c r="N872" s="73"/>
      <c r="O872" s="3" t="str">
        <f>IF(C872="","",IF(C872=5,IFERROR(INDEX(code_Note1!$F$13:$F$16,MATCH(E872,code_Note1!$E$13:$E$16,0)),INDEX(code_Note1!$F$16,1)),IF(B872&lt;code_Note1!$D$21,"No",IFERROR(VLOOKUP(C872,code_Note1!$D$3:$G$8,3,FALSE),""))))</f>
        <v>No</v>
      </c>
      <c r="P872" s="3" t="s">
        <v>831</v>
      </c>
    </row>
    <row r="873" spans="1:16" ht="19.5" customHeight="1">
      <c r="A873" s="2" t="s">
        <v>854</v>
      </c>
      <c r="B873" s="38">
        <v>46070</v>
      </c>
      <c r="C873" s="1">
        <v>2</v>
      </c>
      <c r="D873" s="1" t="s">
        <v>838</v>
      </c>
      <c r="E873" s="1" t="s">
        <v>645</v>
      </c>
      <c r="F873" s="8" t="s">
        <v>671</v>
      </c>
      <c r="G873" s="6">
        <v>8000</v>
      </c>
      <c r="H873" s="6"/>
      <c r="I873" s="6"/>
      <c r="J873" s="7"/>
      <c r="K873" s="73"/>
      <c r="L873" s="73"/>
      <c r="M873" s="73"/>
      <c r="N873" s="73"/>
      <c r="O873" s="3" t="str">
        <f>IF(C873="","",IF(C873=5,IFERROR(INDEX(code_Note1!$F$13:$F$16,MATCH(E873,code_Note1!$E$13:$E$16,0)),INDEX(code_Note1!$F$16,1)),IF(B873&lt;code_Note1!$D$21,"No",IFERROR(VLOOKUP(C873,code_Note1!$D$3:$G$8,3,FALSE),""))))</f>
        <v>No</v>
      </c>
      <c r="P873" s="3" t="s">
        <v>831</v>
      </c>
    </row>
    <row r="874" spans="1:16" ht="19.5" customHeight="1">
      <c r="A874" s="2" t="s">
        <v>854</v>
      </c>
      <c r="B874" s="38">
        <v>46070</v>
      </c>
      <c r="C874" s="1">
        <v>2</v>
      </c>
      <c r="D874" s="1" t="s">
        <v>838</v>
      </c>
      <c r="E874" s="1" t="s">
        <v>21</v>
      </c>
      <c r="F874" s="8" t="s">
        <v>672</v>
      </c>
      <c r="G874" s="6">
        <v>1260000</v>
      </c>
      <c r="H874" s="6"/>
      <c r="I874" s="6"/>
      <c r="J874" s="7"/>
      <c r="K874" s="73"/>
      <c r="L874" s="73"/>
      <c r="M874" s="73"/>
      <c r="N874" s="73"/>
      <c r="O874" s="3" t="str">
        <f>IF(C874="","",IF(C874=5,IFERROR(INDEX(code_Note1!$F$13:$F$16,MATCH(E874,code_Note1!$E$13:$E$16,0)),INDEX(code_Note1!$F$16,1)),IF(B874&lt;code_Note1!$D$21,"No",IFERROR(VLOOKUP(C874,code_Note1!$D$3:$G$8,3,FALSE),""))))</f>
        <v>No</v>
      </c>
      <c r="P874" s="3" t="s">
        <v>831</v>
      </c>
    </row>
    <row r="875" spans="1:16" ht="19.5" customHeight="1">
      <c r="A875" s="2" t="s">
        <v>857</v>
      </c>
      <c r="B875" s="38">
        <v>46071</v>
      </c>
      <c r="C875" s="1">
        <v>1</v>
      </c>
      <c r="D875" s="1" t="s">
        <v>824</v>
      </c>
      <c r="E875" s="1" t="s">
        <v>674</v>
      </c>
      <c r="F875" s="8" t="s">
        <v>673</v>
      </c>
      <c r="G875" s="6">
        <v>1522000</v>
      </c>
      <c r="H875" s="6"/>
      <c r="I875" s="6"/>
      <c r="J875" s="7"/>
      <c r="K875" s="73"/>
      <c r="L875" s="73"/>
      <c r="M875" s="73"/>
      <c r="N875" s="73"/>
      <c r="O875" s="3" t="str">
        <f>IF(C875="","",IF(C875=5,IFERROR(INDEX(code_Note1!$F$13:$F$16,MATCH(E875,code_Note1!$E$13:$E$16,0)),INDEX(code_Note1!$F$16,1)),IF(B875&lt;code_Note1!$D$21,"No",IFERROR(VLOOKUP(C875,code_Note1!$D$3:$G$8,3,FALSE),""))))</f>
        <v>Yes</v>
      </c>
      <c r="P875" s="3" t="s">
        <v>832</v>
      </c>
    </row>
    <row r="876" spans="1:16" ht="19.5" customHeight="1">
      <c r="A876" s="2" t="s">
        <v>857</v>
      </c>
      <c r="B876" s="38">
        <v>46071</v>
      </c>
      <c r="C876" s="1">
        <v>1</v>
      </c>
      <c r="D876" s="1" t="s">
        <v>824</v>
      </c>
      <c r="E876" s="1" t="s">
        <v>663</v>
      </c>
      <c r="F876" s="8" t="s">
        <v>675</v>
      </c>
      <c r="G876" s="6">
        <v>1419000</v>
      </c>
      <c r="H876" s="6"/>
      <c r="I876" s="6"/>
      <c r="J876" s="7"/>
      <c r="K876" s="73"/>
      <c r="L876" s="73"/>
      <c r="M876" s="73"/>
      <c r="N876" s="73"/>
      <c r="O876" s="3" t="str">
        <f>IF(C876="","",IF(C876=5,IFERROR(INDEX(code_Note1!$F$13:$F$16,MATCH(E876,code_Note1!$E$13:$E$16,0)),INDEX(code_Note1!$F$16,1)),IF(B876&lt;code_Note1!$D$21,"No",IFERROR(VLOOKUP(C876,code_Note1!$D$3:$G$8,3,FALSE),""))))</f>
        <v>Yes</v>
      </c>
      <c r="P876" s="3" t="s">
        <v>832</v>
      </c>
    </row>
    <row r="877" spans="1:16" ht="19.5" customHeight="1">
      <c r="A877" s="2" t="s">
        <v>857</v>
      </c>
      <c r="B877" s="38">
        <v>46072</v>
      </c>
      <c r="C877" s="1">
        <v>1</v>
      </c>
      <c r="D877" s="1" t="s">
        <v>824</v>
      </c>
      <c r="E877" s="1" t="s">
        <v>663</v>
      </c>
      <c r="F877" s="8" t="s">
        <v>669</v>
      </c>
      <c r="G877" s="6">
        <v>600000</v>
      </c>
      <c r="H877" s="6"/>
      <c r="I877" s="6"/>
      <c r="J877" s="7"/>
      <c r="K877" s="73"/>
      <c r="L877" s="73"/>
      <c r="M877" s="73"/>
      <c r="N877" s="73"/>
      <c r="O877" s="3" t="str">
        <f>IF(C877="","",IF(C877=5,IFERROR(INDEX(code_Note1!$F$13:$F$16,MATCH(E877,code_Note1!$E$13:$E$16,0)),INDEX(code_Note1!$F$16,1)),IF(B877&lt;code_Note1!$D$21,"No",IFERROR(VLOOKUP(C877,code_Note1!$D$3:$G$8,3,FALSE),""))))</f>
        <v>Yes</v>
      </c>
      <c r="P877" s="3" t="s">
        <v>832</v>
      </c>
    </row>
    <row r="878" spans="1:16" ht="19.5" customHeight="1">
      <c r="A878" s="2" t="s">
        <v>857</v>
      </c>
      <c r="B878" s="38">
        <v>46072</v>
      </c>
      <c r="C878" s="1">
        <v>1</v>
      </c>
      <c r="D878" s="1" t="s">
        <v>824</v>
      </c>
      <c r="E878" s="1" t="s">
        <v>674</v>
      </c>
      <c r="F878" s="8" t="s">
        <v>676</v>
      </c>
      <c r="G878" s="6">
        <v>526000</v>
      </c>
      <c r="H878" s="6"/>
      <c r="I878" s="6"/>
      <c r="J878" s="7"/>
      <c r="K878" s="73"/>
      <c r="L878" s="73"/>
      <c r="M878" s="73"/>
      <c r="N878" s="73"/>
      <c r="O878" s="3" t="str">
        <f>IF(C878="","",IF(C878=5,IFERROR(INDEX(code_Note1!$F$13:$F$16,MATCH(E878,code_Note1!$E$13:$E$16,0)),INDEX(code_Note1!$F$16,1)),IF(B878&lt;code_Note1!$D$21,"No",IFERROR(VLOOKUP(C878,code_Note1!$D$3:$G$8,3,FALSE),""))))</f>
        <v>Yes</v>
      </c>
      <c r="P878" s="3" t="s">
        <v>832</v>
      </c>
    </row>
    <row r="879" spans="1:16" ht="19.5" customHeight="1">
      <c r="A879" s="2" t="s">
        <v>857</v>
      </c>
      <c r="B879" s="38">
        <v>46072</v>
      </c>
      <c r="C879" s="1">
        <v>1</v>
      </c>
      <c r="D879" s="1" t="s">
        <v>824</v>
      </c>
      <c r="E879" s="1" t="s">
        <v>663</v>
      </c>
      <c r="F879" s="8" t="s">
        <v>677</v>
      </c>
      <c r="G879" s="6">
        <v>630000</v>
      </c>
      <c r="H879" s="6"/>
      <c r="I879" s="6"/>
      <c r="J879" s="7"/>
      <c r="K879" s="73"/>
      <c r="L879" s="73"/>
      <c r="M879" s="73"/>
      <c r="N879" s="73"/>
      <c r="O879" s="3" t="str">
        <f>IF(C879="","",IF(C879=5,IFERROR(INDEX(code_Note1!$F$13:$F$16,MATCH(E879,code_Note1!$E$13:$E$16,0)),INDEX(code_Note1!$F$16,1)),IF(B879&lt;code_Note1!$D$21,"No",IFERROR(VLOOKUP(C879,code_Note1!$D$3:$G$8,3,FALSE),""))))</f>
        <v>Yes</v>
      </c>
      <c r="P879" s="3" t="s">
        <v>832</v>
      </c>
    </row>
    <row r="880" spans="1:16" ht="19.5" customHeight="1">
      <c r="A880" s="2" t="s">
        <v>857</v>
      </c>
      <c r="B880" s="38">
        <v>46073</v>
      </c>
      <c r="C880" s="1">
        <v>3</v>
      </c>
      <c r="D880" s="1" t="s">
        <v>823</v>
      </c>
      <c r="E880" s="29" t="s">
        <v>521</v>
      </c>
      <c r="F880" s="8" t="s">
        <v>678</v>
      </c>
      <c r="G880" s="6">
        <v>14000000</v>
      </c>
      <c r="H880" s="6"/>
      <c r="I880" s="6"/>
      <c r="J880" s="7"/>
      <c r="K880" s="73"/>
      <c r="L880" s="73"/>
      <c r="M880" s="73"/>
      <c r="N880" s="73"/>
      <c r="O880" s="3" t="str">
        <f>IF(C880="","",IF(C880=5,IFERROR(INDEX(code_Note1!$F$13:$F$16,MATCH(E880,code_Note1!$E$13:$E$16,0)),INDEX(code_Note1!$F$16,1)),IF(B880&lt;code_Note1!$D$21,"No",IFERROR(VLOOKUP(C880,code_Note1!$D$3:$G$8,3,FALSE),""))))</f>
        <v>yes</v>
      </c>
      <c r="P880" s="3" t="s">
        <v>832</v>
      </c>
    </row>
    <row r="881" spans="1:16" ht="19.5" customHeight="1">
      <c r="A881" s="2" t="s">
        <v>857</v>
      </c>
      <c r="B881" s="38">
        <v>46073</v>
      </c>
      <c r="C881" s="1">
        <v>1</v>
      </c>
      <c r="D881" s="1" t="s">
        <v>824</v>
      </c>
      <c r="E881" s="1" t="s">
        <v>56</v>
      </c>
      <c r="F881" s="8" t="s">
        <v>679</v>
      </c>
      <c r="G881" s="6">
        <v>5500000</v>
      </c>
      <c r="H881" s="6"/>
      <c r="I881" s="6"/>
      <c r="J881" s="7"/>
      <c r="K881" s="73"/>
      <c r="L881" s="73"/>
      <c r="M881" s="73"/>
      <c r="N881" s="73"/>
      <c r="O881" s="3" t="str">
        <f>IF(C881="","",IF(C881=5,IFERROR(INDEX(code_Note1!$F$13:$F$16,MATCH(E881,code_Note1!$E$13:$E$16,0)),INDEX(code_Note1!$F$16,1)),IF(B881&lt;code_Note1!$D$21,"No",IFERROR(VLOOKUP(C881,code_Note1!$D$3:$G$8,3,FALSE),""))))</f>
        <v>Yes</v>
      </c>
      <c r="P881" s="3" t="s">
        <v>832</v>
      </c>
    </row>
    <row r="882" spans="1:16" ht="19.5" customHeight="1">
      <c r="A882" s="2" t="s">
        <v>857</v>
      </c>
      <c r="B882" s="38">
        <v>46074</v>
      </c>
      <c r="C882" s="1">
        <v>5</v>
      </c>
      <c r="D882" s="1" t="s">
        <v>657</v>
      </c>
      <c r="E882" s="1" t="s">
        <v>657</v>
      </c>
      <c r="F882" s="8" t="s">
        <v>680</v>
      </c>
      <c r="G882" s="6">
        <v>0</v>
      </c>
      <c r="H882" s="6"/>
      <c r="I882" s="6"/>
      <c r="J882" s="7"/>
      <c r="K882" s="73">
        <v>506000</v>
      </c>
      <c r="L882" s="73"/>
      <c r="M882" s="73"/>
      <c r="N882" s="73"/>
      <c r="O882" s="3" t="str">
        <f>IF(C882="","",IF(C882=5,IFERROR(INDEX(code_Note1!$F$13:$F$16,MATCH(E882,code_Note1!$E$13:$E$16,0)),INDEX(code_Note1!$F$16,1)),IF(B882&lt;code_Note1!$D$21,"No",IFERROR(VLOOKUP(C882,code_Note1!$D$3:$G$8,3,FALSE),""))))</f>
        <v>Yes</v>
      </c>
      <c r="P882" s="3" t="s">
        <v>831</v>
      </c>
    </row>
    <row r="883" spans="1:16" ht="19.5" customHeight="1">
      <c r="A883" s="2" t="s">
        <v>857</v>
      </c>
      <c r="B883" s="38">
        <v>46074</v>
      </c>
      <c r="C883" s="1">
        <v>5</v>
      </c>
      <c r="D883" s="1" t="s">
        <v>657</v>
      </c>
      <c r="E883" s="1" t="s">
        <v>657</v>
      </c>
      <c r="F883" s="8" t="s">
        <v>681</v>
      </c>
      <c r="G883" s="6">
        <v>0</v>
      </c>
      <c r="H883" s="6"/>
      <c r="I883" s="6"/>
      <c r="J883" s="7"/>
      <c r="K883" s="73">
        <v>220000</v>
      </c>
      <c r="L883" s="73"/>
      <c r="M883" s="73"/>
      <c r="N883" s="73"/>
      <c r="O883" s="3" t="str">
        <f>IF(C883="","",IF(C883=5,IFERROR(INDEX(code_Note1!$F$13:$F$16,MATCH(E883,code_Note1!$E$13:$E$16,0)),INDEX(code_Note1!$F$16,1)),IF(B883&lt;code_Note1!$D$21,"No",IFERROR(VLOOKUP(C883,code_Note1!$D$3:$G$8,3,FALSE),""))))</f>
        <v>Yes</v>
      </c>
      <c r="P883" s="3" t="s">
        <v>831</v>
      </c>
    </row>
    <row r="884" spans="1:16" ht="19.5" customHeight="1">
      <c r="A884" s="2" t="s">
        <v>857</v>
      </c>
      <c r="B884" s="38">
        <v>46074</v>
      </c>
      <c r="C884" s="1">
        <v>5</v>
      </c>
      <c r="D884" s="1" t="s">
        <v>657</v>
      </c>
      <c r="E884" s="1" t="s">
        <v>657</v>
      </c>
      <c r="F884" s="8" t="s">
        <v>682</v>
      </c>
      <c r="G884" s="6">
        <v>0</v>
      </c>
      <c r="H884" s="6"/>
      <c r="I884" s="6"/>
      <c r="J884" s="7"/>
      <c r="K884" s="73">
        <v>132000</v>
      </c>
      <c r="L884" s="73"/>
      <c r="M884" s="73"/>
      <c r="N884" s="73"/>
      <c r="O884" s="3" t="str">
        <f>IF(C884="","",IF(C884=5,IFERROR(INDEX(code_Note1!$F$13:$F$16,MATCH(E884,code_Note1!$E$13:$E$16,0)),INDEX(code_Note1!$F$16,1)),IF(B884&lt;code_Note1!$D$21,"No",IFERROR(VLOOKUP(C884,code_Note1!$D$3:$G$8,3,FALSE),""))))</f>
        <v>Yes</v>
      </c>
      <c r="P884" s="3" t="s">
        <v>831</v>
      </c>
    </row>
    <row r="885" spans="1:16" ht="19.5" customHeight="1">
      <c r="A885" s="2" t="s">
        <v>857</v>
      </c>
      <c r="B885" s="74">
        <v>46074</v>
      </c>
      <c r="C885" s="1">
        <v>5</v>
      </c>
      <c r="D885" s="1" t="s">
        <v>657</v>
      </c>
      <c r="E885" s="29" t="s">
        <v>657</v>
      </c>
      <c r="F885" s="32" t="s">
        <v>683</v>
      </c>
      <c r="G885" s="45">
        <v>0</v>
      </c>
      <c r="H885" s="45"/>
      <c r="I885" s="45"/>
      <c r="J885" s="71"/>
      <c r="K885" s="73">
        <v>600000</v>
      </c>
      <c r="L885" s="73"/>
      <c r="M885" s="73"/>
      <c r="N885" s="73"/>
      <c r="O885" s="3" t="str">
        <f>IF(C885="","",IF(C885=5,IFERROR(INDEX(code_Note1!$F$13:$F$16,MATCH(E885,code_Note1!$E$13:$E$16,0)),INDEX(code_Note1!$F$16,1)),IF(B885&lt;code_Note1!$D$21,"No",IFERROR(VLOOKUP(C885,code_Note1!$D$3:$G$8,3,FALSE),""))))</f>
        <v>Yes</v>
      </c>
      <c r="P885" s="3" t="s">
        <v>831</v>
      </c>
    </row>
    <row r="886" spans="1:16" ht="19.5" customHeight="1">
      <c r="A886" s="2" t="s">
        <v>857</v>
      </c>
      <c r="B886" s="38">
        <v>46074</v>
      </c>
      <c r="C886" s="1">
        <v>5</v>
      </c>
      <c r="D886" s="1" t="s">
        <v>657</v>
      </c>
      <c r="E886" s="1" t="s">
        <v>657</v>
      </c>
      <c r="F886" s="8" t="s">
        <v>684</v>
      </c>
      <c r="G886" s="6">
        <v>0</v>
      </c>
      <c r="H886" s="6"/>
      <c r="I886" s="6"/>
      <c r="J886" s="7"/>
      <c r="K886" s="73">
        <v>990000</v>
      </c>
      <c r="L886" s="73"/>
      <c r="M886" s="73"/>
      <c r="N886" s="73"/>
      <c r="O886" s="3" t="str">
        <f>IF(C886="","",IF(C886=5,IFERROR(INDEX(code_Note1!$F$13:$F$16,MATCH(E886,code_Note1!$E$13:$E$16,0)),INDEX(code_Note1!$F$16,1)),IF(B886&lt;code_Note1!$D$21,"No",IFERROR(VLOOKUP(C886,code_Note1!$D$3:$G$8,3,FALSE),""))))</f>
        <v>Yes</v>
      </c>
      <c r="P886" s="3" t="s">
        <v>831</v>
      </c>
    </row>
    <row r="887" spans="1:16" ht="19.5" customHeight="1">
      <c r="A887" s="2" t="s">
        <v>857</v>
      </c>
      <c r="B887" s="38">
        <v>46074</v>
      </c>
      <c r="C887" s="1">
        <v>1</v>
      </c>
      <c r="D887" s="1" t="s">
        <v>824</v>
      </c>
      <c r="E887" s="1" t="s">
        <v>655</v>
      </c>
      <c r="F887" s="8" t="s">
        <v>685</v>
      </c>
      <c r="G887" s="6">
        <v>1000000</v>
      </c>
      <c r="H887" s="6"/>
      <c r="I887" s="6"/>
      <c r="J887" s="7"/>
      <c r="K887" s="73"/>
      <c r="L887" s="73"/>
      <c r="M887" s="73"/>
      <c r="N887" s="73"/>
      <c r="O887" s="3" t="str">
        <f>IF(C887="","",IF(C887=5,IFERROR(INDEX(code_Note1!$F$13:$F$16,MATCH(E887,code_Note1!$E$13:$E$16,0)),INDEX(code_Note1!$F$16,1)),IF(B887&lt;code_Note1!$D$21,"No",IFERROR(VLOOKUP(C887,code_Note1!$D$3:$G$8,3,FALSE),""))))</f>
        <v>Yes</v>
      </c>
      <c r="P887" s="3" t="s">
        <v>832</v>
      </c>
    </row>
    <row r="888" spans="1:16" ht="19.5" customHeight="1">
      <c r="A888" s="2" t="s">
        <v>857</v>
      </c>
      <c r="B888" s="38">
        <v>46074</v>
      </c>
      <c r="C888" s="1">
        <v>1</v>
      </c>
      <c r="D888" s="1" t="s">
        <v>824</v>
      </c>
      <c r="E888" s="1" t="s">
        <v>687</v>
      </c>
      <c r="F888" s="8" t="s">
        <v>686</v>
      </c>
      <c r="G888" s="6">
        <v>742000</v>
      </c>
      <c r="H888" s="6"/>
      <c r="I888" s="6"/>
      <c r="J888" s="7"/>
      <c r="K888" s="73"/>
      <c r="L888" s="73"/>
      <c r="M888" s="73"/>
      <c r="N888" s="73"/>
      <c r="O888" s="3" t="str">
        <f>IF(C888="","",IF(C888=5,IFERROR(INDEX(code_Note1!$F$13:$F$16,MATCH(E888,code_Note1!$E$13:$E$16,0)),INDEX(code_Note1!$F$16,1)),IF(B888&lt;code_Note1!$D$21,"No",IFERROR(VLOOKUP(C888,code_Note1!$D$3:$G$8,3,FALSE),""))))</f>
        <v>Yes</v>
      </c>
      <c r="P888" s="3" t="s">
        <v>832</v>
      </c>
    </row>
    <row r="889" spans="1:16" ht="19.5" customHeight="1">
      <c r="A889" s="2" t="s">
        <v>854</v>
      </c>
      <c r="B889" s="38">
        <v>46074</v>
      </c>
      <c r="C889" s="1">
        <v>2</v>
      </c>
      <c r="D889" s="1" t="s">
        <v>838</v>
      </c>
      <c r="E889" s="1" t="s">
        <v>645</v>
      </c>
      <c r="F889" s="8" t="s">
        <v>645</v>
      </c>
      <c r="G889" s="6">
        <v>90000</v>
      </c>
      <c r="H889" s="6"/>
      <c r="I889" s="6"/>
      <c r="J889" s="7"/>
      <c r="K889" s="73"/>
      <c r="L889" s="73"/>
      <c r="M889" s="73"/>
      <c r="N889" s="73"/>
      <c r="O889" s="3" t="str">
        <f>IF(C889="","",IF(C889=5,IFERROR(INDEX(code_Note1!$F$13:$F$16,MATCH(E889,code_Note1!$E$13:$E$16,0)),INDEX(code_Note1!$F$16,1)),IF(B889&lt;code_Note1!$D$21,"No",IFERROR(VLOOKUP(C889,code_Note1!$D$3:$G$8,3,FALSE),""))))</f>
        <v>No</v>
      </c>
      <c r="P889" s="3" t="s">
        <v>831</v>
      </c>
    </row>
    <row r="890" spans="1:16" ht="19.5" customHeight="1">
      <c r="A890" s="2" t="s">
        <v>857</v>
      </c>
      <c r="B890" s="38">
        <v>46076</v>
      </c>
      <c r="C890" s="1">
        <v>5</v>
      </c>
      <c r="D890" s="1" t="s">
        <v>657</v>
      </c>
      <c r="E890" s="1" t="s">
        <v>657</v>
      </c>
      <c r="F890" s="8" t="s">
        <v>688</v>
      </c>
      <c r="G890" s="6">
        <v>0</v>
      </c>
      <c r="H890" s="6"/>
      <c r="I890" s="6"/>
      <c r="J890" s="7"/>
      <c r="K890" s="73">
        <v>0</v>
      </c>
      <c r="L890" s="73"/>
      <c r="M890" s="73"/>
      <c r="N890" s="73"/>
      <c r="O890" s="3" t="str">
        <f>IF(C890="","",IF(C890=5,IFERROR(INDEX(code_Note1!$F$13:$F$16,MATCH(E890,code_Note1!$E$13:$E$16,0)),INDEX(code_Note1!$F$16,1)),IF(B890&lt;code_Note1!$D$21,"No",IFERROR(VLOOKUP(C890,code_Note1!$D$3:$G$8,3,FALSE),""))))</f>
        <v>Yes</v>
      </c>
      <c r="P890" s="3" t="s">
        <v>831</v>
      </c>
    </row>
    <row r="891" spans="1:16" ht="19.5" customHeight="1">
      <c r="A891" s="2" t="s">
        <v>857</v>
      </c>
      <c r="B891" s="38">
        <v>46076</v>
      </c>
      <c r="C891" s="1">
        <v>1</v>
      </c>
      <c r="D891" s="1" t="s">
        <v>824</v>
      </c>
      <c r="E891" s="1" t="s">
        <v>655</v>
      </c>
      <c r="F891" s="8" t="s">
        <v>689</v>
      </c>
      <c r="G891" s="6">
        <v>2000000</v>
      </c>
      <c r="H891" s="6"/>
      <c r="I891" s="6"/>
      <c r="J891" s="7"/>
      <c r="K891" s="73"/>
      <c r="L891" s="73"/>
      <c r="M891" s="73"/>
      <c r="N891" s="73"/>
      <c r="O891" s="3" t="str">
        <f>IF(C891="","",IF(C891=5,IFERROR(INDEX(code_Note1!$F$13:$F$16,MATCH(E891,code_Note1!$E$13:$E$16,0)),INDEX(code_Note1!$F$16,1)),IF(B891&lt;code_Note1!$D$21,"No",IFERROR(VLOOKUP(C891,code_Note1!$D$3:$G$8,3,FALSE),""))))</f>
        <v>Yes</v>
      </c>
      <c r="P891" s="3" t="s">
        <v>832</v>
      </c>
    </row>
    <row r="892" spans="1:16" ht="19.5" customHeight="1">
      <c r="A892" s="2" t="s">
        <v>854</v>
      </c>
      <c r="B892" s="38">
        <v>46077</v>
      </c>
      <c r="C892" s="1" t="s">
        <v>844</v>
      </c>
      <c r="D892" s="1" t="s">
        <v>826</v>
      </c>
      <c r="E892" s="28" t="s">
        <v>76</v>
      </c>
      <c r="F892" s="8" t="s">
        <v>690</v>
      </c>
      <c r="G892" s="6">
        <v>132000</v>
      </c>
      <c r="H892" s="6"/>
      <c r="I892" s="6"/>
      <c r="J892" s="7"/>
      <c r="K892" s="73"/>
      <c r="L892" s="73"/>
      <c r="M892" s="73"/>
      <c r="N892" s="73"/>
      <c r="O892" s="3" t="str">
        <f>IF(C892="","",IF(C892=5,IFERROR(INDEX(code_Note1!$F$13:$F$16,MATCH(E892,code_Note1!$E$13:$E$16,0)),INDEX(code_Note1!$F$16,1)),IF(B892&lt;code_Note1!$D$21,"No",IFERROR(VLOOKUP(C892,code_Note1!$D$3:$G$8,3,FALSE),""))))</f>
        <v>No</v>
      </c>
      <c r="P892" s="3" t="s">
        <v>833</v>
      </c>
    </row>
    <row r="893" spans="1:16" ht="19.5" customHeight="1">
      <c r="A893" s="2" t="s">
        <v>854</v>
      </c>
      <c r="B893" s="38">
        <v>46077</v>
      </c>
      <c r="C893" s="1" t="s">
        <v>844</v>
      </c>
      <c r="D893" s="1" t="s">
        <v>826</v>
      </c>
      <c r="E893" s="28" t="s">
        <v>21</v>
      </c>
      <c r="F893" s="8" t="s">
        <v>691</v>
      </c>
      <c r="G893" s="6">
        <v>1593375.6</v>
      </c>
      <c r="H893" s="6"/>
      <c r="I893" s="6"/>
      <c r="J893" s="7"/>
      <c r="K893" s="73"/>
      <c r="L893" s="73"/>
      <c r="M893" s="73"/>
      <c r="N893" s="73"/>
      <c r="O893" s="3" t="str">
        <f>IF(C893="","",IF(C893=5,IFERROR(INDEX(code_Note1!$F$13:$F$16,MATCH(E893,code_Note1!$E$13:$E$16,0)),INDEX(code_Note1!$F$16,1)),IF(B893&lt;code_Note1!$D$21,"No",IFERROR(VLOOKUP(C893,code_Note1!$D$3:$G$8,3,FALSE),""))))</f>
        <v>No</v>
      </c>
      <c r="P893" s="3" t="s">
        <v>833</v>
      </c>
    </row>
    <row r="894" spans="1:16" ht="19.5" customHeight="1">
      <c r="A894" s="2" t="s">
        <v>854</v>
      </c>
      <c r="B894" s="38">
        <v>46077</v>
      </c>
      <c r="C894" s="1" t="s">
        <v>844</v>
      </c>
      <c r="D894" s="1" t="s">
        <v>826</v>
      </c>
      <c r="E894" s="28" t="s">
        <v>414</v>
      </c>
      <c r="F894" s="8" t="s">
        <v>692</v>
      </c>
      <c r="G894" s="6">
        <v>4075000</v>
      </c>
      <c r="H894" s="6"/>
      <c r="I894" s="6"/>
      <c r="J894" s="7"/>
      <c r="K894" s="73"/>
      <c r="L894" s="73"/>
      <c r="M894" s="73"/>
      <c r="N894" s="73"/>
      <c r="O894" s="3" t="str">
        <f>IF(C894="","",IF(C894=5,IFERROR(INDEX(code_Note1!$F$13:$F$16,MATCH(E894,code_Note1!$E$13:$E$16,0)),INDEX(code_Note1!$F$16,1)),IF(B894&lt;code_Note1!$D$21,"No",IFERROR(VLOOKUP(C894,code_Note1!$D$3:$G$8,3,FALSE),""))))</f>
        <v>No</v>
      </c>
      <c r="P894" s="3" t="s">
        <v>833</v>
      </c>
    </row>
    <row r="895" spans="1:16" ht="19.5" customHeight="1">
      <c r="A895" s="2" t="s">
        <v>857</v>
      </c>
      <c r="B895" s="38">
        <v>46079</v>
      </c>
      <c r="C895" s="1">
        <v>1</v>
      </c>
      <c r="D895" s="1" t="s">
        <v>824</v>
      </c>
      <c r="E895" s="1" t="s">
        <v>293</v>
      </c>
      <c r="F895" s="8" t="s">
        <v>693</v>
      </c>
      <c r="G895" s="6">
        <v>2847000</v>
      </c>
      <c r="H895" s="6"/>
      <c r="I895" s="6"/>
      <c r="J895" s="7"/>
      <c r="K895" s="73"/>
      <c r="L895" s="73"/>
      <c r="M895" s="73"/>
      <c r="N895" s="73"/>
      <c r="O895" s="3" t="str">
        <f>IF(C895="","",IF(C895=5,IFERROR(INDEX(code_Note1!$F$13:$F$16,MATCH(E895,code_Note1!$E$13:$E$16,0)),INDEX(code_Note1!$F$16,1)),IF(B895&lt;code_Note1!$D$21,"No",IFERROR(VLOOKUP(C895,code_Note1!$D$3:$G$8,3,FALSE),""))))</f>
        <v>Yes</v>
      </c>
      <c r="P895" s="3" t="s">
        <v>832</v>
      </c>
    </row>
    <row r="896" spans="1:16" ht="19.5" customHeight="1">
      <c r="A896" s="2" t="s">
        <v>857</v>
      </c>
      <c r="B896" s="38">
        <v>46079</v>
      </c>
      <c r="C896" s="1">
        <v>1</v>
      </c>
      <c r="D896" s="1" t="s">
        <v>824</v>
      </c>
      <c r="E896" s="1" t="s">
        <v>291</v>
      </c>
      <c r="F896" s="8" t="s">
        <v>694</v>
      </c>
      <c r="G896" s="6">
        <v>828500</v>
      </c>
      <c r="H896" s="6"/>
      <c r="I896" s="6"/>
      <c r="J896" s="7"/>
      <c r="K896" s="73"/>
      <c r="L896" s="73"/>
      <c r="M896" s="73"/>
      <c r="N896" s="73"/>
      <c r="O896" s="3" t="str">
        <f>IF(C896="","",IF(C896=5,IFERROR(INDEX(code_Note1!$F$13:$F$16,MATCH(E896,code_Note1!$E$13:$E$16,0)),INDEX(code_Note1!$F$16,1)),IF(B896&lt;code_Note1!$D$21,"No",IFERROR(VLOOKUP(C896,code_Note1!$D$3:$G$8,3,FALSE),""))))</f>
        <v>Yes</v>
      </c>
      <c r="P896" s="3" t="s">
        <v>832</v>
      </c>
    </row>
    <row r="897" spans="1:16" ht="19.5" customHeight="1">
      <c r="A897" s="2" t="s">
        <v>857</v>
      </c>
      <c r="B897" s="38">
        <v>46079</v>
      </c>
      <c r="C897" s="1">
        <v>1</v>
      </c>
      <c r="D897" s="1" t="s">
        <v>824</v>
      </c>
      <c r="E897" s="1" t="s">
        <v>655</v>
      </c>
      <c r="F897" s="8" t="s">
        <v>695</v>
      </c>
      <c r="G897" s="6">
        <v>750000</v>
      </c>
      <c r="H897" s="6"/>
      <c r="I897" s="6"/>
      <c r="J897" s="7"/>
      <c r="K897" s="73"/>
      <c r="L897" s="73"/>
      <c r="M897" s="73"/>
      <c r="N897" s="73"/>
      <c r="O897" s="3" t="str">
        <f>IF(C897="","",IF(C897=5,IFERROR(INDEX(code_Note1!$F$13:$F$16,MATCH(E897,code_Note1!$E$13:$E$16,0)),INDEX(code_Note1!$F$16,1)),IF(B897&lt;code_Note1!$D$21,"No",IFERROR(VLOOKUP(C897,code_Note1!$D$3:$G$8,3,FALSE),""))))</f>
        <v>Yes</v>
      </c>
      <c r="P897" s="3" t="s">
        <v>832</v>
      </c>
    </row>
    <row r="898" spans="1:16" ht="19.5" customHeight="1">
      <c r="A898" s="2" t="s">
        <v>857</v>
      </c>
      <c r="B898" s="38">
        <v>46079</v>
      </c>
      <c r="C898" s="1">
        <v>3</v>
      </c>
      <c r="D898" s="1" t="s">
        <v>823</v>
      </c>
      <c r="E898" s="1" t="s">
        <v>38</v>
      </c>
      <c r="F898" s="8" t="s">
        <v>696</v>
      </c>
      <c r="G898" s="6">
        <v>1190000</v>
      </c>
      <c r="H898" s="6"/>
      <c r="I898" s="6"/>
      <c r="J898" s="7"/>
      <c r="K898" s="73"/>
      <c r="L898" s="73"/>
      <c r="M898" s="73"/>
      <c r="N898" s="73"/>
      <c r="O898" s="3" t="str">
        <f>IF(C898="","",IF(C898=5,IFERROR(INDEX(code_Note1!$F$13:$F$16,MATCH(E898,code_Note1!$E$13:$E$16,0)),INDEX(code_Note1!$F$16,1)),IF(B898&lt;code_Note1!$D$21,"No",IFERROR(VLOOKUP(C898,code_Note1!$D$3:$G$8,3,FALSE),""))))</f>
        <v>yes</v>
      </c>
      <c r="P898" s="3" t="s">
        <v>832</v>
      </c>
    </row>
    <row r="899" spans="1:16" ht="19.5" customHeight="1">
      <c r="A899" s="2" t="s">
        <v>857</v>
      </c>
      <c r="B899" s="38">
        <v>46080</v>
      </c>
      <c r="C899" s="1">
        <v>1</v>
      </c>
      <c r="D899" s="1" t="s">
        <v>824</v>
      </c>
      <c r="E899" s="1" t="s">
        <v>663</v>
      </c>
      <c r="F899" s="8" t="s">
        <v>697</v>
      </c>
      <c r="G899" s="6">
        <v>474000</v>
      </c>
      <c r="H899" s="6"/>
      <c r="I899" s="6"/>
      <c r="J899" s="7"/>
      <c r="K899" s="73"/>
      <c r="L899" s="73"/>
      <c r="M899" s="73"/>
      <c r="N899" s="73"/>
      <c r="O899" s="3" t="str">
        <f>IF(C899="","",IF(C899=5,IFERROR(INDEX(code_Note1!$F$13:$F$16,MATCH(E899,code_Note1!$E$13:$E$16,0)),INDEX(code_Note1!$F$16,1)),IF(B899&lt;code_Note1!$D$21,"No",IFERROR(VLOOKUP(C899,code_Note1!$D$3:$G$8,3,FALSE),""))))</f>
        <v>Yes</v>
      </c>
      <c r="P899" s="3" t="s">
        <v>832</v>
      </c>
    </row>
    <row r="900" spans="1:16" ht="19.5" customHeight="1">
      <c r="A900" s="2" t="s">
        <v>858</v>
      </c>
      <c r="B900" s="38">
        <v>46080</v>
      </c>
      <c r="C900" s="1">
        <v>1</v>
      </c>
      <c r="D900" s="1" t="s">
        <v>824</v>
      </c>
      <c r="E900" s="1" t="s">
        <v>476</v>
      </c>
      <c r="F900" s="8" t="s">
        <v>476</v>
      </c>
      <c r="G900" s="6">
        <v>4400000</v>
      </c>
      <c r="H900" s="6"/>
      <c r="I900" s="6"/>
      <c r="J900" s="7"/>
      <c r="K900" s="73"/>
      <c r="L900" s="73"/>
      <c r="M900" s="73"/>
      <c r="N900" s="73"/>
      <c r="O900" s="3" t="str">
        <f>IF(C900="","",IF(C900=5,IFERROR(INDEX(code_Note1!$F$13:$F$16,MATCH(E900,code_Note1!$E$13:$E$16,0)),INDEX(code_Note1!$F$16,1)),IF(B900&lt;code_Note1!$D$21,"No",IFERROR(VLOOKUP(C900,code_Note1!$D$3:$G$8,3,FALSE),""))))</f>
        <v>Yes</v>
      </c>
      <c r="P900" s="3" t="s">
        <v>832</v>
      </c>
    </row>
    <row r="901" spans="1:16" ht="19.5" customHeight="1">
      <c r="A901" s="2" t="s">
        <v>858</v>
      </c>
      <c r="B901" s="38">
        <v>46080</v>
      </c>
      <c r="C901" s="1">
        <v>3</v>
      </c>
      <c r="D901" s="1" t="s">
        <v>823</v>
      </c>
      <c r="E901" s="1" t="s">
        <v>38</v>
      </c>
      <c r="F901" s="8" t="s">
        <v>228</v>
      </c>
      <c r="G901" s="6">
        <v>180000</v>
      </c>
      <c r="H901" s="6"/>
      <c r="I901" s="6"/>
      <c r="J901" s="7"/>
      <c r="K901" s="73"/>
      <c r="L901" s="73"/>
      <c r="M901" s="73"/>
      <c r="N901" s="73"/>
      <c r="O901" s="3" t="str">
        <f>IF(C901="","",IF(C901=5,IFERROR(INDEX(code_Note1!$F$13:$F$16,MATCH(E901,code_Note1!$E$13:$E$16,0)),INDEX(code_Note1!$F$16,1)),IF(B901&lt;code_Note1!$D$21,"No",IFERROR(VLOOKUP(C901,code_Note1!$D$3:$G$8,3,FALSE),""))))</f>
        <v>yes</v>
      </c>
      <c r="P901" s="3" t="s">
        <v>832</v>
      </c>
    </row>
    <row r="902" spans="1:16" ht="19.5" customHeight="1">
      <c r="A902" s="2" t="s">
        <v>858</v>
      </c>
      <c r="B902" s="38">
        <v>46081</v>
      </c>
      <c r="C902" s="1">
        <v>1</v>
      </c>
      <c r="D902" s="1" t="s">
        <v>824</v>
      </c>
      <c r="E902" s="1" t="s">
        <v>699</v>
      </c>
      <c r="F902" s="8" t="s">
        <v>698</v>
      </c>
      <c r="G902" s="6">
        <v>750000</v>
      </c>
      <c r="H902" s="6"/>
      <c r="I902" s="6"/>
      <c r="J902" s="7"/>
      <c r="K902" s="73"/>
      <c r="L902" s="73"/>
      <c r="M902" s="73"/>
      <c r="N902" s="73"/>
      <c r="O902" s="3" t="str">
        <f>IF(C902="","",IF(C902=5,IFERROR(INDEX(code_Note1!$F$13:$F$16,MATCH(E902,code_Note1!$E$13:$E$16,0)),INDEX(code_Note1!$F$16,1)),IF(B902&lt;code_Note1!$D$21,"No",IFERROR(VLOOKUP(C902,code_Note1!$D$3:$G$8,3,FALSE),""))))</f>
        <v>Yes</v>
      </c>
      <c r="P902" s="3" t="s">
        <v>832</v>
      </c>
    </row>
    <row r="903" spans="1:16" ht="19.5" customHeight="1">
      <c r="A903" s="2" t="s">
        <v>858</v>
      </c>
      <c r="B903" s="38">
        <v>46082</v>
      </c>
      <c r="C903" s="1">
        <v>1</v>
      </c>
      <c r="D903" s="1" t="s">
        <v>824</v>
      </c>
      <c r="E903" s="1" t="s">
        <v>293</v>
      </c>
      <c r="F903" s="8" t="s">
        <v>700</v>
      </c>
      <c r="G903" s="6">
        <v>3120000</v>
      </c>
      <c r="H903" s="6"/>
      <c r="I903" s="6"/>
      <c r="J903" s="7"/>
      <c r="K903" s="73"/>
      <c r="L903" s="73"/>
      <c r="M903" s="73"/>
      <c r="N903" s="73"/>
      <c r="O903" s="3" t="str">
        <f>IF(C903="","",IF(C903=5,IFERROR(INDEX(code_Note1!$F$13:$F$16,MATCH(E903,code_Note1!$E$13:$E$16,0)),INDEX(code_Note1!$F$16,1)),IF(B903&lt;code_Note1!$D$21,"No",IFERROR(VLOOKUP(C903,code_Note1!$D$3:$G$8,3,FALSE),""))))</f>
        <v>Yes</v>
      </c>
      <c r="P903" s="3" t="s">
        <v>832</v>
      </c>
    </row>
    <row r="904" spans="1:16" ht="19.5" customHeight="1">
      <c r="A904" s="2" t="s">
        <v>858</v>
      </c>
      <c r="B904" s="38">
        <v>46082</v>
      </c>
      <c r="C904" s="1">
        <v>1</v>
      </c>
      <c r="D904" s="1" t="s">
        <v>824</v>
      </c>
      <c r="E904" s="1" t="s">
        <v>291</v>
      </c>
      <c r="F904" s="8" t="s">
        <v>701</v>
      </c>
      <c r="G904" s="6">
        <v>360000</v>
      </c>
      <c r="H904" s="6"/>
      <c r="I904" s="6"/>
      <c r="J904" s="7"/>
      <c r="K904" s="73"/>
      <c r="L904" s="73"/>
      <c r="M904" s="73"/>
      <c r="N904" s="73"/>
      <c r="O904" s="3" t="str">
        <f>IF(C904="","",IF(C904=5,IFERROR(INDEX(code_Note1!$F$13:$F$16,MATCH(E904,code_Note1!$E$13:$E$16,0)),INDEX(code_Note1!$F$16,1)),IF(B904&lt;code_Note1!$D$21,"No",IFERROR(VLOOKUP(C904,code_Note1!$D$3:$G$8,3,FALSE),""))))</f>
        <v>Yes</v>
      </c>
      <c r="P904" s="3" t="s">
        <v>832</v>
      </c>
    </row>
    <row r="905" spans="1:16" ht="19.5" customHeight="1">
      <c r="A905" s="2" t="s">
        <v>854</v>
      </c>
      <c r="B905" s="38">
        <v>46082</v>
      </c>
      <c r="C905" s="1">
        <v>2</v>
      </c>
      <c r="D905" s="1" t="s">
        <v>838</v>
      </c>
      <c r="E905" s="1" t="s">
        <v>355</v>
      </c>
      <c r="F905" s="8" t="s">
        <v>702</v>
      </c>
      <c r="G905" s="6">
        <v>50000</v>
      </c>
      <c r="H905" s="6"/>
      <c r="I905" s="6"/>
      <c r="J905" s="7"/>
      <c r="K905" s="73"/>
      <c r="L905" s="73"/>
      <c r="M905" s="73"/>
      <c r="N905" s="73"/>
      <c r="O905" s="3" t="str">
        <f>IF(C905="","",IF(C905=5,IFERROR(INDEX(code_Note1!$F$13:$F$16,MATCH(E905,code_Note1!$E$13:$E$16,0)),INDEX(code_Note1!$F$16,1)),IF(B905&lt;code_Note1!$D$21,"No",IFERROR(VLOOKUP(C905,code_Note1!$D$3:$G$8,3,FALSE),""))))</f>
        <v>No</v>
      </c>
      <c r="P905" s="3" t="s">
        <v>831</v>
      </c>
    </row>
    <row r="906" spans="1:16" ht="19.5" customHeight="1">
      <c r="A906" s="2" t="s">
        <v>858</v>
      </c>
      <c r="B906" s="38">
        <v>46082</v>
      </c>
      <c r="C906" s="1">
        <v>1</v>
      </c>
      <c r="D906" s="1" t="s">
        <v>824</v>
      </c>
      <c r="E906" s="1" t="s">
        <v>699</v>
      </c>
      <c r="F906" s="8" t="s">
        <v>698</v>
      </c>
      <c r="G906" s="6">
        <v>750000</v>
      </c>
      <c r="H906" s="6"/>
      <c r="I906" s="6"/>
      <c r="J906" s="7"/>
      <c r="K906" s="73"/>
      <c r="L906" s="73"/>
      <c r="M906" s="73"/>
      <c r="N906" s="73"/>
      <c r="O906" s="3" t="str">
        <f>IF(C906="","",IF(C906=5,IFERROR(INDEX(code_Note1!$F$13:$F$16,MATCH(E906,code_Note1!$E$13:$E$16,0)),INDEX(code_Note1!$F$16,1)),IF(B906&lt;code_Note1!$D$21,"No",IFERROR(VLOOKUP(C906,code_Note1!$D$3:$G$8,3,FALSE),""))))</f>
        <v>Yes</v>
      </c>
      <c r="P906" s="3" t="s">
        <v>832</v>
      </c>
    </row>
    <row r="907" spans="1:16" ht="19.5" customHeight="1">
      <c r="A907" s="2" t="s">
        <v>858</v>
      </c>
      <c r="B907" s="38">
        <v>46083</v>
      </c>
      <c r="C907" s="1">
        <v>3</v>
      </c>
      <c r="D907" s="1" t="s">
        <v>823</v>
      </c>
      <c r="E907" s="1" t="s">
        <v>44</v>
      </c>
      <c r="F907" s="13" t="s">
        <v>703</v>
      </c>
      <c r="G907" s="6">
        <v>216000</v>
      </c>
      <c r="H907" s="6"/>
      <c r="I907" s="6"/>
      <c r="J907" s="7"/>
      <c r="K907" s="73"/>
      <c r="L907" s="73"/>
      <c r="M907" s="73"/>
      <c r="N907" s="73"/>
      <c r="O907" s="3" t="str">
        <f>IF(C907="","",IF(C907=5,IFERROR(INDEX(code_Note1!$F$13:$F$16,MATCH(E907,code_Note1!$E$13:$E$16,0)),INDEX(code_Note1!$F$16,1)),IF(B907&lt;code_Note1!$D$21,"No",IFERROR(VLOOKUP(C907,code_Note1!$D$3:$G$8,3,FALSE),""))))</f>
        <v>yes</v>
      </c>
      <c r="P907" s="3" t="s">
        <v>832</v>
      </c>
    </row>
    <row r="908" spans="1:16" ht="19.5" customHeight="1">
      <c r="A908" s="2" t="s">
        <v>858</v>
      </c>
      <c r="B908" s="38">
        <v>46084</v>
      </c>
      <c r="C908" s="1">
        <v>3</v>
      </c>
      <c r="D908" s="1" t="s">
        <v>823</v>
      </c>
      <c r="E908" s="1" t="s">
        <v>38</v>
      </c>
      <c r="F908" s="13" t="s">
        <v>704</v>
      </c>
      <c r="G908" s="6">
        <v>600000</v>
      </c>
      <c r="H908" s="6"/>
      <c r="I908" s="6"/>
      <c r="J908" s="7"/>
      <c r="K908" s="73"/>
      <c r="L908" s="73"/>
      <c r="M908" s="73"/>
      <c r="N908" s="73"/>
      <c r="O908" s="3" t="str">
        <f>IF(C908="","",IF(C908=5,IFERROR(INDEX(code_Note1!$F$13:$F$16,MATCH(E908,code_Note1!$E$13:$E$16,0)),INDEX(code_Note1!$F$16,1)),IF(B908&lt;code_Note1!$D$21,"No",IFERROR(VLOOKUP(C908,code_Note1!$D$3:$G$8,3,FALSE),""))))</f>
        <v>yes</v>
      </c>
      <c r="P908" s="3" t="s">
        <v>832</v>
      </c>
    </row>
    <row r="909" spans="1:16" ht="19.5" customHeight="1">
      <c r="A909" s="2" t="s">
        <v>858</v>
      </c>
      <c r="B909" s="38">
        <v>46084</v>
      </c>
      <c r="C909" s="1">
        <v>5</v>
      </c>
      <c r="D909" s="1" t="s">
        <v>657</v>
      </c>
      <c r="E909" s="1" t="s">
        <v>657</v>
      </c>
      <c r="F909" s="8" t="s">
        <v>705</v>
      </c>
      <c r="G909" s="6">
        <v>0</v>
      </c>
      <c r="H909" s="6"/>
      <c r="I909" s="6"/>
      <c r="J909" s="7"/>
      <c r="K909" s="73">
        <v>5192000</v>
      </c>
      <c r="L909" s="73"/>
      <c r="M909" s="73"/>
      <c r="N909" s="73"/>
      <c r="O909" s="3" t="str">
        <f>IF(C909="","",IF(C909=5,IFERROR(INDEX(code_Note1!$F$13:$F$16,MATCH(E909,code_Note1!$E$13:$E$16,0)),INDEX(code_Note1!$F$16,1)),IF(B909&lt;code_Note1!$D$21,"No",IFERROR(VLOOKUP(C909,code_Note1!$D$3:$G$8,3,FALSE),""))))</f>
        <v>Yes</v>
      </c>
      <c r="P909" s="3" t="s">
        <v>831</v>
      </c>
    </row>
    <row r="910" spans="1:16" ht="19.5" customHeight="1">
      <c r="A910" s="2" t="s">
        <v>858</v>
      </c>
      <c r="B910" s="38">
        <v>46084</v>
      </c>
      <c r="C910" s="1">
        <v>3</v>
      </c>
      <c r="D910" s="1" t="s">
        <v>823</v>
      </c>
      <c r="E910" s="1" t="s">
        <v>12</v>
      </c>
      <c r="F910" s="33" t="s">
        <v>210</v>
      </c>
      <c r="G910" s="6">
        <v>928000</v>
      </c>
      <c r="H910" s="6"/>
      <c r="I910" s="6"/>
      <c r="J910" s="7"/>
      <c r="K910" s="73"/>
      <c r="L910" s="73"/>
      <c r="M910" s="73"/>
      <c r="N910" s="73"/>
      <c r="O910" s="3" t="str">
        <f>IF(C910="","",IF(C910=5,IFERROR(INDEX(code_Note1!$F$13:$F$16,MATCH(E910,code_Note1!$E$13:$E$16,0)),INDEX(code_Note1!$F$16,1)),IF(B910&lt;code_Note1!$D$21,"No",IFERROR(VLOOKUP(C910,code_Note1!$D$3:$G$8,3,FALSE),""))))</f>
        <v>yes</v>
      </c>
      <c r="P910" s="3" t="s">
        <v>832</v>
      </c>
    </row>
    <row r="911" spans="1:16" ht="19.5" customHeight="1">
      <c r="A911" s="2" t="s">
        <v>858</v>
      </c>
      <c r="B911" s="38">
        <v>46086</v>
      </c>
      <c r="C911" s="1">
        <v>3</v>
      </c>
      <c r="D911" s="1" t="s">
        <v>823</v>
      </c>
      <c r="E911" s="1" t="s">
        <v>12</v>
      </c>
      <c r="F911" s="8" t="s">
        <v>12</v>
      </c>
      <c r="G911" s="6">
        <v>122000</v>
      </c>
      <c r="H911" s="6"/>
      <c r="I911" s="6"/>
      <c r="J911" s="7"/>
      <c r="K911" s="73"/>
      <c r="L911" s="73"/>
      <c r="M911" s="73"/>
      <c r="N911" s="73"/>
      <c r="O911" s="3" t="str">
        <f>IF(C911="","",IF(C911=5,IFERROR(INDEX(code_Note1!$F$13:$F$16,MATCH(E911,code_Note1!$E$13:$E$16,0)),INDEX(code_Note1!$F$16,1)),IF(B911&lt;code_Note1!$D$21,"No",IFERROR(VLOOKUP(C911,code_Note1!$D$3:$G$8,3,FALSE),""))))</f>
        <v>yes</v>
      </c>
      <c r="P911" s="3" t="s">
        <v>832</v>
      </c>
    </row>
    <row r="912" spans="1:16" ht="19.5" customHeight="1">
      <c r="A912" s="2" t="s">
        <v>858</v>
      </c>
      <c r="B912" s="38">
        <v>46086</v>
      </c>
      <c r="C912" s="1">
        <v>3</v>
      </c>
      <c r="D912" s="1" t="s">
        <v>823</v>
      </c>
      <c r="E912" s="1" t="s">
        <v>38</v>
      </c>
      <c r="F912" s="8" t="s">
        <v>706</v>
      </c>
      <c r="G912" s="6">
        <v>660000</v>
      </c>
      <c r="H912" s="6"/>
      <c r="I912" s="6"/>
      <c r="J912" s="7"/>
      <c r="K912" s="73"/>
      <c r="L912" s="73"/>
      <c r="M912" s="73"/>
      <c r="N912" s="73"/>
      <c r="O912" s="3" t="str">
        <f>IF(C912="","",IF(C912=5,IFERROR(INDEX(code_Note1!$F$13:$F$16,MATCH(E912,code_Note1!$E$13:$E$16,0)),INDEX(code_Note1!$F$16,1)),IF(B912&lt;code_Note1!$D$21,"No",IFERROR(VLOOKUP(C912,code_Note1!$D$3:$G$8,3,FALSE),""))))</f>
        <v>yes</v>
      </c>
      <c r="P912" s="3" t="s">
        <v>832</v>
      </c>
    </row>
    <row r="913" spans="1:16" ht="19.5" customHeight="1">
      <c r="A913" s="2" t="s">
        <v>858</v>
      </c>
      <c r="B913" s="38">
        <v>46087</v>
      </c>
      <c r="C913" s="1">
        <v>1</v>
      </c>
      <c r="D913" s="1" t="s">
        <v>824</v>
      </c>
      <c r="E913" s="1" t="s">
        <v>476</v>
      </c>
      <c r="F913" s="8" t="s">
        <v>476</v>
      </c>
      <c r="G913" s="6">
        <v>3300000</v>
      </c>
      <c r="H913" s="6"/>
      <c r="I913" s="6"/>
      <c r="J913" s="7"/>
      <c r="K913" s="73"/>
      <c r="L913" s="73"/>
      <c r="M913" s="73"/>
      <c r="N913" s="73"/>
      <c r="O913" s="3" t="str">
        <f>IF(C913="","",IF(C913=5,IFERROR(INDEX(code_Note1!$F$13:$F$16,MATCH(E913,code_Note1!$E$13:$E$16,0)),INDEX(code_Note1!$F$16,1)),IF(B913&lt;code_Note1!$D$21,"No",IFERROR(VLOOKUP(C913,code_Note1!$D$3:$G$8,3,FALSE),""))))</f>
        <v>Yes</v>
      </c>
      <c r="P913" s="3" t="s">
        <v>832</v>
      </c>
    </row>
    <row r="914" spans="1:16" ht="19.5" customHeight="1">
      <c r="A914" s="2" t="s">
        <v>858</v>
      </c>
      <c r="B914" s="38">
        <v>46087</v>
      </c>
      <c r="C914" s="1">
        <v>1</v>
      </c>
      <c r="D914" s="1" t="s">
        <v>824</v>
      </c>
      <c r="E914" s="1" t="s">
        <v>476</v>
      </c>
      <c r="F914" s="8" t="s">
        <v>476</v>
      </c>
      <c r="G914" s="6">
        <v>3600000</v>
      </c>
      <c r="H914" s="6"/>
      <c r="I914" s="6"/>
      <c r="J914" s="7"/>
      <c r="K914" s="73"/>
      <c r="L914" s="73"/>
      <c r="M914" s="73"/>
      <c r="N914" s="73"/>
      <c r="O914" s="3" t="str">
        <f>IF(C914="","",IF(C914=5,IFERROR(INDEX(code_Note1!$F$13:$F$16,MATCH(E914,code_Note1!$E$13:$E$16,0)),INDEX(code_Note1!$F$16,1)),IF(B914&lt;code_Note1!$D$21,"No",IFERROR(VLOOKUP(C914,code_Note1!$D$3:$G$8,3,FALSE),""))))</f>
        <v>Yes</v>
      </c>
      <c r="P914" s="3" t="s">
        <v>832</v>
      </c>
    </row>
    <row r="915" spans="1:16" ht="19.5" customHeight="1">
      <c r="A915" s="2" t="s">
        <v>858</v>
      </c>
      <c r="B915" s="38">
        <v>46087</v>
      </c>
      <c r="C915" s="1">
        <v>1</v>
      </c>
      <c r="D915" s="1" t="s">
        <v>824</v>
      </c>
      <c r="E915" s="27" t="s">
        <v>62</v>
      </c>
      <c r="F915" s="8" t="s">
        <v>707</v>
      </c>
      <c r="G915" s="6">
        <v>2947200</v>
      </c>
      <c r="H915" s="6"/>
      <c r="I915" s="6"/>
      <c r="J915" s="7"/>
      <c r="K915" s="73"/>
      <c r="L915" s="73"/>
      <c r="M915" s="73"/>
      <c r="N915" s="73"/>
      <c r="O915" s="3" t="str">
        <f>IF(C915="","",IF(C915=5,IFERROR(INDEX(code_Note1!$F$13:$F$16,MATCH(E915,code_Note1!$E$13:$E$16,0)),INDEX(code_Note1!$F$16,1)),IF(B915&lt;code_Note1!$D$21,"No",IFERROR(VLOOKUP(C915,code_Note1!$D$3:$G$8,3,FALSE),""))))</f>
        <v>Yes</v>
      </c>
      <c r="P915" s="3" t="s">
        <v>832</v>
      </c>
    </row>
    <row r="916" spans="1:16" ht="19.5" customHeight="1">
      <c r="A916" s="2" t="s">
        <v>858</v>
      </c>
      <c r="B916" s="38">
        <v>46087</v>
      </c>
      <c r="C916" s="1">
        <v>1</v>
      </c>
      <c r="D916" s="1" t="s">
        <v>824</v>
      </c>
      <c r="E916" s="1" t="s">
        <v>614</v>
      </c>
      <c r="F916" s="8" t="s">
        <v>708</v>
      </c>
      <c r="G916" s="6">
        <v>56744</v>
      </c>
      <c r="H916" s="6"/>
      <c r="I916" s="6"/>
      <c r="J916" s="7"/>
      <c r="K916" s="73"/>
      <c r="L916" s="73"/>
      <c r="M916" s="73"/>
      <c r="N916" s="73"/>
      <c r="O916" s="3" t="str">
        <f>IF(C916="","",IF(C916=5,IFERROR(INDEX(code_Note1!$F$13:$F$16,MATCH(E916,code_Note1!$E$13:$E$16,0)),INDEX(code_Note1!$F$16,1)),IF(B916&lt;code_Note1!$D$21,"No",IFERROR(VLOOKUP(C916,code_Note1!$D$3:$G$8,3,FALSE),""))))</f>
        <v>Yes</v>
      </c>
      <c r="P916" s="3" t="s">
        <v>832</v>
      </c>
    </row>
    <row r="917" spans="1:16" ht="19.5" customHeight="1">
      <c r="A917" s="2" t="s">
        <v>858</v>
      </c>
      <c r="B917" s="38">
        <v>46087</v>
      </c>
      <c r="C917" s="1">
        <v>1</v>
      </c>
      <c r="D917" s="1" t="s">
        <v>824</v>
      </c>
      <c r="E917" s="37" t="s">
        <v>285</v>
      </c>
      <c r="F917" s="8" t="s">
        <v>709</v>
      </c>
      <c r="G917" s="6">
        <v>89469</v>
      </c>
      <c r="H917" s="6"/>
      <c r="I917" s="6"/>
      <c r="J917" s="7"/>
      <c r="K917" s="73"/>
      <c r="L917" s="73"/>
      <c r="M917" s="73"/>
      <c r="N917" s="73"/>
      <c r="O917" s="3" t="str">
        <f>IF(C917="","",IF(C917=5,IFERROR(INDEX(code_Note1!$F$13:$F$16,MATCH(E917,code_Note1!$E$13:$E$16,0)),INDEX(code_Note1!$F$16,1)),IF(B917&lt;code_Note1!$D$21,"No",IFERROR(VLOOKUP(C917,code_Note1!$D$3:$G$8,3,FALSE),""))))</f>
        <v>Yes</v>
      </c>
      <c r="P917" s="3" t="s">
        <v>832</v>
      </c>
    </row>
    <row r="918" spans="1:16" ht="19.5" customHeight="1">
      <c r="A918" s="2" t="s">
        <v>858</v>
      </c>
      <c r="B918" s="38">
        <v>46087</v>
      </c>
      <c r="C918" s="1">
        <v>1</v>
      </c>
      <c r="D918" s="1" t="s">
        <v>824</v>
      </c>
      <c r="E918" s="37" t="s">
        <v>285</v>
      </c>
      <c r="F918" s="8" t="s">
        <v>709</v>
      </c>
      <c r="G918" s="6">
        <v>81862</v>
      </c>
      <c r="H918" s="6"/>
      <c r="I918" s="6"/>
      <c r="J918" s="7"/>
      <c r="K918" s="73"/>
      <c r="L918" s="73"/>
      <c r="M918" s="73"/>
      <c r="N918" s="73"/>
      <c r="O918" s="3" t="str">
        <f>IF(C918="","",IF(C918=5,IFERROR(INDEX(code_Note1!$F$13:$F$16,MATCH(E918,code_Note1!$E$13:$E$16,0)),INDEX(code_Note1!$F$16,1)),IF(B918&lt;code_Note1!$D$21,"No",IFERROR(VLOOKUP(C918,code_Note1!$D$3:$G$8,3,FALSE),""))))</f>
        <v>Yes</v>
      </c>
      <c r="P918" s="3" t="s">
        <v>832</v>
      </c>
    </row>
    <row r="919" spans="1:16" ht="19.5" customHeight="1">
      <c r="A919" s="2" t="s">
        <v>858</v>
      </c>
      <c r="B919" s="38">
        <v>46087</v>
      </c>
      <c r="C919" s="1">
        <v>1</v>
      </c>
      <c r="D919" s="1" t="s">
        <v>824</v>
      </c>
      <c r="E919" s="37" t="s">
        <v>285</v>
      </c>
      <c r="F919" s="8" t="s">
        <v>710</v>
      </c>
      <c r="G919" s="6">
        <v>81862</v>
      </c>
      <c r="H919" s="6"/>
      <c r="I919" s="6"/>
      <c r="J919" s="7"/>
      <c r="K919" s="73"/>
      <c r="L919" s="73"/>
      <c r="M919" s="73"/>
      <c r="N919" s="73"/>
      <c r="O919" s="3" t="str">
        <f>IF(C919="","",IF(C919=5,IFERROR(INDEX(code_Note1!$F$13:$F$16,MATCH(E919,code_Note1!$E$13:$E$16,0)),INDEX(code_Note1!$F$16,1)),IF(B919&lt;code_Note1!$D$21,"No",IFERROR(VLOOKUP(C919,code_Note1!$D$3:$G$8,3,FALSE),""))))</f>
        <v>Yes</v>
      </c>
      <c r="P919" s="3" t="s">
        <v>832</v>
      </c>
    </row>
    <row r="920" spans="1:16" ht="19.5" customHeight="1">
      <c r="A920" s="2" t="s">
        <v>858</v>
      </c>
      <c r="B920" s="38">
        <v>46088</v>
      </c>
      <c r="C920" s="1">
        <v>1</v>
      </c>
      <c r="D920" s="1" t="s">
        <v>824</v>
      </c>
      <c r="E920" s="27" t="s">
        <v>62</v>
      </c>
      <c r="F920" s="12" t="s">
        <v>711</v>
      </c>
      <c r="G920" s="47">
        <v>2944300</v>
      </c>
      <c r="H920" s="47"/>
      <c r="I920" s="47"/>
      <c r="J920" s="75"/>
      <c r="K920" s="76"/>
      <c r="L920" s="73"/>
      <c r="M920" s="73"/>
      <c r="N920" s="73"/>
      <c r="O920" s="3" t="str">
        <f>IF(C920="","",IF(C920=5,IFERROR(INDEX(code_Note1!$F$13:$F$16,MATCH(E920,code_Note1!$E$13:$E$16,0)),INDEX(code_Note1!$F$16,1)),IF(B920&lt;code_Note1!$D$21,"No",IFERROR(VLOOKUP(C920,code_Note1!$D$3:$G$8,3,FALSE),""))))</f>
        <v>Yes</v>
      </c>
      <c r="P920" s="3" t="s">
        <v>832</v>
      </c>
    </row>
    <row r="921" spans="1:16" ht="19.5" customHeight="1">
      <c r="A921" s="2" t="s">
        <v>858</v>
      </c>
      <c r="B921" s="38">
        <v>46089</v>
      </c>
      <c r="C921" s="1">
        <v>1</v>
      </c>
      <c r="D921" s="1" t="s">
        <v>824</v>
      </c>
      <c r="E921" s="27" t="s">
        <v>476</v>
      </c>
      <c r="F921" s="8" t="s">
        <v>476</v>
      </c>
      <c r="G921" s="47">
        <v>3600000</v>
      </c>
      <c r="H921" s="47"/>
      <c r="I921" s="47"/>
      <c r="J921" s="75"/>
      <c r="K921" s="76"/>
      <c r="L921" s="73"/>
      <c r="M921" s="73"/>
      <c r="N921" s="73"/>
      <c r="O921" s="3" t="str">
        <f>IF(C921="","",IF(C921=5,IFERROR(INDEX(code_Note1!$F$13:$F$16,MATCH(E921,code_Note1!$E$13:$E$16,0)),INDEX(code_Note1!$F$16,1)),IF(B921&lt;code_Note1!$D$21,"No",IFERROR(VLOOKUP(C921,code_Note1!$D$3:$G$8,3,FALSE),""))))</f>
        <v>Yes</v>
      </c>
      <c r="P921" s="3" t="s">
        <v>832</v>
      </c>
    </row>
    <row r="922" spans="1:16" ht="19.5" customHeight="1">
      <c r="A922" s="2" t="s">
        <v>858</v>
      </c>
      <c r="B922" s="38">
        <v>46089</v>
      </c>
      <c r="C922" s="1">
        <v>5</v>
      </c>
      <c r="D922" s="1" t="s">
        <v>841</v>
      </c>
      <c r="E922" s="1" t="s">
        <v>713</v>
      </c>
      <c r="F922" s="8" t="s">
        <v>712</v>
      </c>
      <c r="G922" s="47">
        <v>0</v>
      </c>
      <c r="H922" s="47"/>
      <c r="I922" s="47"/>
      <c r="J922" s="75"/>
      <c r="K922" s="76">
        <v>2000000</v>
      </c>
      <c r="L922" s="73"/>
      <c r="M922" s="73"/>
      <c r="N922" s="73"/>
      <c r="O922" s="3" t="str">
        <f>IF(C922="","",IF(C922=5,IFERROR(INDEX(code_Note1!$F$13:$F$16,MATCH(E922,code_Note1!$E$13:$E$16,0)),INDEX(code_Note1!$F$16,1)),IF(B922&lt;code_Note1!$D$21,"No",IFERROR(VLOOKUP(C922,code_Note1!$D$3:$G$8,3,FALSE),""))))</f>
        <v>Yes/No</v>
      </c>
      <c r="P922" s="3" t="s">
        <v>843</v>
      </c>
    </row>
    <row r="923" spans="1:16" ht="19.5" customHeight="1">
      <c r="A923" s="2" t="s">
        <v>858</v>
      </c>
      <c r="B923" s="38">
        <v>46090</v>
      </c>
      <c r="C923" s="1">
        <v>1</v>
      </c>
      <c r="D923" s="1" t="s">
        <v>824</v>
      </c>
      <c r="E923" s="27" t="s">
        <v>715</v>
      </c>
      <c r="F923" s="8" t="s">
        <v>714</v>
      </c>
      <c r="G923" s="47">
        <v>160000</v>
      </c>
      <c r="H923" s="47"/>
      <c r="I923" s="47"/>
      <c r="J923" s="75"/>
      <c r="K923" s="76"/>
      <c r="L923" s="73"/>
      <c r="M923" s="73"/>
      <c r="N923" s="73"/>
      <c r="O923" s="3" t="str">
        <f>IF(C923="","",IF(C923=5,IFERROR(INDEX(code_Note1!$F$13:$F$16,MATCH(E923,code_Note1!$E$13:$E$16,0)),INDEX(code_Note1!$F$16,1)),IF(B923&lt;code_Note1!$D$21,"No",IFERROR(VLOOKUP(C923,code_Note1!$D$3:$G$8,3,FALSE),""))))</f>
        <v>Yes</v>
      </c>
      <c r="P923" s="3" t="s">
        <v>832</v>
      </c>
    </row>
    <row r="924" spans="1:16" ht="19.5" customHeight="1">
      <c r="A924" s="2" t="s">
        <v>858</v>
      </c>
      <c r="B924" s="38">
        <v>46090</v>
      </c>
      <c r="C924" s="1">
        <v>3</v>
      </c>
      <c r="D924" s="1" t="s">
        <v>823</v>
      </c>
      <c r="E924" s="1" t="s">
        <v>38</v>
      </c>
      <c r="F924" s="8" t="s">
        <v>716</v>
      </c>
      <c r="G924" s="13">
        <v>417000</v>
      </c>
      <c r="H924" s="47"/>
      <c r="I924" s="47"/>
      <c r="J924" s="75"/>
      <c r="K924" s="76"/>
      <c r="L924" s="73"/>
      <c r="M924" s="73"/>
      <c r="N924" s="73"/>
      <c r="O924" s="3" t="str">
        <f>IF(C924="","",IF(C924=5,IFERROR(INDEX(code_Note1!$F$13:$F$16,MATCH(E924,code_Note1!$E$13:$E$16,0)),INDEX(code_Note1!$F$16,1)),IF(B924&lt;code_Note1!$D$21,"No",IFERROR(VLOOKUP(C924,code_Note1!$D$3:$G$8,3,FALSE),""))))</f>
        <v>yes</v>
      </c>
      <c r="P924" s="3" t="s">
        <v>832</v>
      </c>
    </row>
    <row r="925" spans="1:16" ht="19.5" customHeight="1">
      <c r="A925" s="79" t="s">
        <v>856</v>
      </c>
      <c r="B925" s="38">
        <v>46092</v>
      </c>
      <c r="C925" s="1">
        <v>5</v>
      </c>
      <c r="D925" s="1" t="s">
        <v>717</v>
      </c>
      <c r="E925" s="27" t="s">
        <v>717</v>
      </c>
      <c r="F925" s="12" t="s">
        <v>859</v>
      </c>
      <c r="G925" s="47">
        <v>0</v>
      </c>
      <c r="H925" s="47"/>
      <c r="I925" s="47"/>
      <c r="J925" s="75"/>
      <c r="K925" s="77">
        <v>298890000</v>
      </c>
      <c r="L925" s="78"/>
      <c r="M925" s="78"/>
      <c r="N925" s="78"/>
      <c r="O925" s="66" t="str">
        <f>IF(C925="","",IF(C925=5,IFERROR(INDEX(code_Note1!$F$13:$F$16,MATCH(E925,code_Note1!$E$13:$E$16,0)),INDEX(code_Note1!$F$16,1)),IF(B925&lt;code_Note1!$D$21,"No",IFERROR(VLOOKUP(C925,code_Note1!$D$3:$G$8,3,FALSE),""))))</f>
        <v>yes</v>
      </c>
      <c r="P925" s="66" t="s">
        <v>832</v>
      </c>
    </row>
    <row r="926" spans="1:16" ht="19.5" customHeight="1">
      <c r="A926" s="2" t="s">
        <v>858</v>
      </c>
      <c r="B926" s="38">
        <v>46092</v>
      </c>
      <c r="C926" s="1">
        <v>1</v>
      </c>
      <c r="D926" s="1" t="s">
        <v>824</v>
      </c>
      <c r="E926" s="27" t="s">
        <v>476</v>
      </c>
      <c r="F926" s="9" t="s">
        <v>476</v>
      </c>
      <c r="G926" s="15">
        <v>3600000</v>
      </c>
      <c r="H926" s="6"/>
      <c r="I926" s="6"/>
      <c r="J926" s="7"/>
      <c r="K926" s="73"/>
      <c r="L926" s="73"/>
      <c r="M926" s="73"/>
      <c r="N926" s="73"/>
      <c r="O926" s="3" t="str">
        <f>IF(C926="","",IF(C926=5,IFERROR(INDEX(code_Note1!$F$13:$F$16,MATCH(E926,code_Note1!$E$13:$E$16,0)),INDEX(code_Note1!$F$16,1)),IF(B926&lt;code_Note1!$D$21,"No",IFERROR(VLOOKUP(C926,code_Note1!$D$3:$G$8,3,FALSE),""))))</f>
        <v>Yes</v>
      </c>
      <c r="P926" s="3" t="s">
        <v>832</v>
      </c>
    </row>
    <row r="927" spans="1:16" ht="19.5" customHeight="1">
      <c r="A927" s="2" t="s">
        <v>858</v>
      </c>
      <c r="B927" s="80">
        <v>46095</v>
      </c>
      <c r="C927" s="1">
        <v>1</v>
      </c>
      <c r="D927" s="1" t="s">
        <v>824</v>
      </c>
      <c r="E927" s="37" t="s">
        <v>476</v>
      </c>
      <c r="F927" s="8" t="s">
        <v>476</v>
      </c>
      <c r="G927" s="13">
        <v>3600000</v>
      </c>
      <c r="H927" s="6"/>
      <c r="I927" s="6"/>
      <c r="J927" s="7"/>
      <c r="K927" s="73"/>
      <c r="L927" s="73"/>
      <c r="M927" s="73"/>
      <c r="N927" s="73"/>
      <c r="O927" s="3" t="str">
        <f>IF(C927="","",IF(C927=5,IFERROR(INDEX(code_Note1!$F$13:$F$16,MATCH(E927,code_Note1!$E$13:$E$16,0)),INDEX(code_Note1!$F$16,1)),IF(B927&lt;code_Note1!$D$21,"No",IFERROR(VLOOKUP(C927,code_Note1!$D$3:$G$8,3,FALSE),""))))</f>
        <v>Yes</v>
      </c>
      <c r="P927" s="3" t="s">
        <v>832</v>
      </c>
    </row>
    <row r="928" spans="1:16" ht="19.5" customHeight="1">
      <c r="A928" s="2" t="s">
        <v>858</v>
      </c>
      <c r="B928" s="38">
        <v>46095</v>
      </c>
      <c r="C928" s="1">
        <v>3</v>
      </c>
      <c r="D928" s="1" t="s">
        <v>823</v>
      </c>
      <c r="E928" s="1" t="s">
        <v>521</v>
      </c>
      <c r="F928" s="10" t="s">
        <v>130</v>
      </c>
      <c r="G928" s="13">
        <v>36000000</v>
      </c>
      <c r="H928" s="13"/>
      <c r="I928" s="6"/>
      <c r="J928" s="7"/>
      <c r="K928" s="73"/>
      <c r="L928" s="73"/>
      <c r="M928" s="73"/>
      <c r="N928" s="73"/>
      <c r="O928" s="3" t="str">
        <f>IF(C928="","",IF(C928=5,IFERROR(INDEX(code_Note1!$F$13:$F$16,MATCH(E928,code_Note1!$E$13:$E$16,0)),INDEX(code_Note1!$F$16,1)),IF(B928&lt;code_Note1!$D$21,"No",IFERROR(VLOOKUP(C928,code_Note1!$D$3:$G$8,3,FALSE),""))))</f>
        <v>yes</v>
      </c>
      <c r="P928" s="3" t="s">
        <v>832</v>
      </c>
    </row>
    <row r="929" spans="1:16" ht="19.5" customHeight="1">
      <c r="A929" s="2" t="s">
        <v>858</v>
      </c>
      <c r="B929" s="38">
        <v>46095</v>
      </c>
      <c r="C929" s="1">
        <v>1</v>
      </c>
      <c r="D929" s="1" t="s">
        <v>824</v>
      </c>
      <c r="E929" s="1" t="s">
        <v>291</v>
      </c>
      <c r="F929" s="8" t="s">
        <v>718</v>
      </c>
      <c r="G929" s="6">
        <v>345000</v>
      </c>
      <c r="H929" s="6"/>
      <c r="I929" s="6"/>
      <c r="J929" s="7"/>
      <c r="K929" s="73"/>
      <c r="L929" s="73"/>
      <c r="M929" s="73"/>
      <c r="N929" s="73"/>
      <c r="O929" s="3" t="str">
        <f>IF(C929="","",IF(C929=5,IFERROR(INDEX(code_Note1!$F$13:$F$16,MATCH(E929,code_Note1!$E$13:$E$16,0)),INDEX(code_Note1!$F$16,1)),IF(B929&lt;code_Note1!$D$21,"No",IFERROR(VLOOKUP(C929,code_Note1!$D$3:$G$8,3,FALSE),""))))</f>
        <v>Yes</v>
      </c>
      <c r="P929" s="3" t="s">
        <v>832</v>
      </c>
    </row>
    <row r="930" spans="1:16" ht="19.5" customHeight="1">
      <c r="A930" s="2" t="s">
        <v>858</v>
      </c>
      <c r="B930" s="38">
        <v>46095</v>
      </c>
      <c r="C930" s="1">
        <v>1</v>
      </c>
      <c r="D930" s="1" t="s">
        <v>824</v>
      </c>
      <c r="E930" s="1" t="s">
        <v>103</v>
      </c>
      <c r="F930" s="8" t="s">
        <v>719</v>
      </c>
      <c r="G930" s="6">
        <v>600000</v>
      </c>
      <c r="H930" s="6"/>
      <c r="I930" s="6"/>
      <c r="J930" s="7"/>
      <c r="K930" s="73"/>
      <c r="L930" s="73"/>
      <c r="M930" s="73"/>
      <c r="N930" s="73"/>
      <c r="O930" s="3" t="str">
        <f>IF(C930="","",IF(C930=5,IFERROR(INDEX(code_Note1!$F$13:$F$16,MATCH(E930,code_Note1!$E$13:$E$16,0)),INDEX(code_Note1!$F$16,1)),IF(B930&lt;code_Note1!$D$21,"No",IFERROR(VLOOKUP(C930,code_Note1!$D$3:$G$8,3,FALSE),""))))</f>
        <v>Yes</v>
      </c>
      <c r="P930" s="3" t="s">
        <v>832</v>
      </c>
    </row>
    <row r="931" spans="1:16" ht="19.5" customHeight="1">
      <c r="A931" s="2" t="s">
        <v>858</v>
      </c>
      <c r="B931" s="38">
        <v>46095</v>
      </c>
      <c r="C931" s="1">
        <v>1</v>
      </c>
      <c r="D931" s="1" t="s">
        <v>824</v>
      </c>
      <c r="E931" s="27" t="s">
        <v>62</v>
      </c>
      <c r="F931" s="8" t="s">
        <v>711</v>
      </c>
      <c r="G931" s="6">
        <v>5882600</v>
      </c>
      <c r="H931" s="6"/>
      <c r="I931" s="6"/>
      <c r="J931" s="7"/>
      <c r="K931" s="73"/>
      <c r="L931" s="73"/>
      <c r="M931" s="73"/>
      <c r="N931" s="73"/>
      <c r="O931" s="3" t="str">
        <f>IF(C931="","",IF(C931=5,IFERROR(INDEX(code_Note1!$F$13:$F$16,MATCH(E931,code_Note1!$E$13:$E$16,0)),INDEX(code_Note1!$F$16,1)),IF(B931&lt;code_Note1!$D$21,"No",IFERROR(VLOOKUP(C931,code_Note1!$D$3:$G$8,3,FALSE),""))))</f>
        <v>Yes</v>
      </c>
      <c r="P931" s="3" t="s">
        <v>832</v>
      </c>
    </row>
    <row r="932" spans="1:16" ht="19.5" customHeight="1">
      <c r="A932" s="2" t="s">
        <v>858</v>
      </c>
      <c r="B932" s="38">
        <v>46096</v>
      </c>
      <c r="C932" s="1">
        <v>3</v>
      </c>
      <c r="D932" s="1" t="s">
        <v>823</v>
      </c>
      <c r="E932" s="1" t="s">
        <v>12</v>
      </c>
      <c r="F932" s="8" t="s">
        <v>12</v>
      </c>
      <c r="G932" s="6">
        <v>200000</v>
      </c>
      <c r="H932" s="6"/>
      <c r="I932" s="6"/>
      <c r="J932" s="7"/>
      <c r="K932" s="73"/>
      <c r="L932" s="73"/>
      <c r="M932" s="73"/>
      <c r="N932" s="73"/>
      <c r="O932" s="3" t="str">
        <f>IF(C932="","",IF(C932=5,IFERROR(INDEX(code_Note1!$F$13:$F$16,MATCH(E932,code_Note1!$E$13:$E$16,0)),INDEX(code_Note1!$F$16,1)),IF(B932&lt;code_Note1!$D$21,"No",IFERROR(VLOOKUP(C932,code_Note1!$D$3:$G$8,3,FALSE),""))))</f>
        <v>yes</v>
      </c>
      <c r="P932" s="3" t="s">
        <v>832</v>
      </c>
    </row>
    <row r="933" spans="1:16" ht="19.5" customHeight="1">
      <c r="A933" s="2" t="s">
        <v>858</v>
      </c>
      <c r="B933" s="38">
        <v>46096</v>
      </c>
      <c r="C933" s="1">
        <v>3</v>
      </c>
      <c r="D933" s="1" t="s">
        <v>823</v>
      </c>
      <c r="E933" s="1" t="s">
        <v>38</v>
      </c>
      <c r="F933" s="8" t="s">
        <v>720</v>
      </c>
      <c r="G933" s="6">
        <v>768000</v>
      </c>
      <c r="H933" s="6"/>
      <c r="I933" s="6"/>
      <c r="J933" s="7"/>
      <c r="K933" s="73"/>
      <c r="L933" s="73"/>
      <c r="M933" s="73"/>
      <c r="N933" s="73"/>
      <c r="O933" s="3" t="str">
        <f>IF(C933="","",IF(C933=5,IFERROR(INDEX(code_Note1!$F$13:$F$16,MATCH(E933,code_Note1!$E$13:$E$16,0)),INDEX(code_Note1!$F$16,1)),IF(B933&lt;code_Note1!$D$21,"No",IFERROR(VLOOKUP(C933,code_Note1!$D$3:$G$8,3,FALSE),""))))</f>
        <v>yes</v>
      </c>
      <c r="P933" s="3" t="s">
        <v>832</v>
      </c>
    </row>
    <row r="934" spans="1:16" ht="19.5" customHeight="1">
      <c r="A934" s="2" t="s">
        <v>858</v>
      </c>
      <c r="B934" s="38">
        <v>46097</v>
      </c>
      <c r="C934" s="1">
        <v>3</v>
      </c>
      <c r="D934" s="1" t="s">
        <v>823</v>
      </c>
      <c r="E934" s="1" t="s">
        <v>44</v>
      </c>
      <c r="F934" s="8" t="s">
        <v>721</v>
      </c>
      <c r="G934" s="6">
        <v>168000</v>
      </c>
      <c r="H934" s="6"/>
      <c r="I934" s="6"/>
      <c r="J934" s="7"/>
      <c r="K934" s="73"/>
      <c r="L934" s="73"/>
      <c r="M934" s="73"/>
      <c r="N934" s="73"/>
      <c r="O934" s="3" t="str">
        <f>IF(C934="","",IF(C934=5,IFERROR(INDEX(code_Note1!$F$13:$F$16,MATCH(E934,code_Note1!$E$13:$E$16,0)),INDEX(code_Note1!$F$16,1)),IF(B934&lt;code_Note1!$D$21,"No",IFERROR(VLOOKUP(C934,code_Note1!$D$3:$G$8,3,FALSE),""))))</f>
        <v>yes</v>
      </c>
      <c r="P934" s="3" t="s">
        <v>832</v>
      </c>
    </row>
    <row r="935" spans="1:16" ht="19.5" customHeight="1">
      <c r="A935" s="2" t="s">
        <v>858</v>
      </c>
      <c r="B935" s="38">
        <v>46097</v>
      </c>
      <c r="C935" s="1">
        <v>3</v>
      </c>
      <c r="D935" s="1" t="s">
        <v>823</v>
      </c>
      <c r="E935" s="29" t="s">
        <v>521</v>
      </c>
      <c r="F935" s="8" t="s">
        <v>722</v>
      </c>
      <c r="G935" s="6">
        <v>7000000</v>
      </c>
      <c r="H935" s="6"/>
      <c r="I935" s="6"/>
      <c r="J935" s="7"/>
      <c r="K935" s="73"/>
      <c r="L935" s="73"/>
      <c r="M935" s="73"/>
      <c r="N935" s="73"/>
      <c r="O935" s="3" t="str">
        <f>IF(C935="","",IF(C935=5,IFERROR(INDEX(code_Note1!$F$13:$F$16,MATCH(E935,code_Note1!$E$13:$E$16,0)),INDEX(code_Note1!$F$16,1)),IF(B935&lt;code_Note1!$D$21,"No",IFERROR(VLOOKUP(C935,code_Note1!$D$3:$G$8,3,FALSE),""))))</f>
        <v>yes</v>
      </c>
      <c r="P935" s="3" t="s">
        <v>832</v>
      </c>
    </row>
    <row r="936" spans="1:16" ht="19.5" customHeight="1">
      <c r="A936" s="2" t="s">
        <v>858</v>
      </c>
      <c r="B936" s="38">
        <v>46099</v>
      </c>
      <c r="C936" s="1">
        <v>1</v>
      </c>
      <c r="D936" s="1" t="s">
        <v>824</v>
      </c>
      <c r="E936" s="1" t="s">
        <v>293</v>
      </c>
      <c r="F936" s="8" t="s">
        <v>723</v>
      </c>
      <c r="G936" s="6">
        <v>2990000</v>
      </c>
      <c r="H936" s="6"/>
      <c r="I936" s="6"/>
      <c r="J936" s="7"/>
      <c r="K936" s="73"/>
      <c r="L936" s="73"/>
      <c r="M936" s="73"/>
      <c r="N936" s="73"/>
      <c r="O936" s="3" t="str">
        <f>IF(C936="","",IF(C936=5,IFERROR(INDEX(code_Note1!$F$13:$F$16,MATCH(E936,code_Note1!$E$13:$E$16,0)),INDEX(code_Note1!$F$16,1)),IF(B936&lt;code_Note1!$D$21,"No",IFERROR(VLOOKUP(C936,code_Note1!$D$3:$G$8,3,FALSE),""))))</f>
        <v>Yes</v>
      </c>
      <c r="P936" s="3" t="s">
        <v>832</v>
      </c>
    </row>
    <row r="937" spans="1:16" ht="19.5" customHeight="1">
      <c r="A937" s="2" t="s">
        <v>858</v>
      </c>
      <c r="B937" s="38">
        <v>46099</v>
      </c>
      <c r="C937" s="1">
        <v>1</v>
      </c>
      <c r="D937" s="1" t="s">
        <v>824</v>
      </c>
      <c r="E937" s="1" t="s">
        <v>293</v>
      </c>
      <c r="F937" s="8" t="s">
        <v>724</v>
      </c>
      <c r="G937" s="6">
        <v>3094000</v>
      </c>
      <c r="H937" s="6"/>
      <c r="I937" s="6"/>
      <c r="J937" s="7"/>
      <c r="K937" s="73"/>
      <c r="L937" s="73"/>
      <c r="M937" s="73"/>
      <c r="N937" s="73"/>
      <c r="O937" s="3" t="str">
        <f>IF(C937="","",IF(C937=5,IFERROR(INDEX(code_Note1!$F$13:$F$16,MATCH(E937,code_Note1!$E$13:$E$16,0)),INDEX(code_Note1!$F$16,1)),IF(B937&lt;code_Note1!$D$21,"No",IFERROR(VLOOKUP(C937,code_Note1!$D$3:$G$8,3,FALSE),""))))</f>
        <v>Yes</v>
      </c>
      <c r="P937" s="3" t="s">
        <v>832</v>
      </c>
    </row>
    <row r="938" spans="1:16" ht="19.5" customHeight="1">
      <c r="A938" s="2" t="s">
        <v>858</v>
      </c>
      <c r="B938" s="38">
        <v>46099</v>
      </c>
      <c r="C938" s="1">
        <v>1</v>
      </c>
      <c r="D938" s="1" t="s">
        <v>824</v>
      </c>
      <c r="E938" s="1" t="s">
        <v>291</v>
      </c>
      <c r="F938" s="8" t="s">
        <v>291</v>
      </c>
      <c r="G938" s="6">
        <v>357000</v>
      </c>
      <c r="H938" s="6"/>
      <c r="I938" s="6"/>
      <c r="J938" s="7"/>
      <c r="K938" s="73"/>
      <c r="L938" s="73"/>
      <c r="M938" s="73"/>
      <c r="N938" s="73"/>
      <c r="O938" s="3" t="str">
        <f>IF(C938="","",IF(C938=5,IFERROR(INDEX(code_Note1!$F$13:$F$16,MATCH(E938,code_Note1!$E$13:$E$16,0)),INDEX(code_Note1!$F$16,1)),IF(B938&lt;code_Note1!$D$21,"No",IFERROR(VLOOKUP(C938,code_Note1!$D$3:$G$8,3,FALSE),""))))</f>
        <v>Yes</v>
      </c>
      <c r="P938" s="3" t="s">
        <v>832</v>
      </c>
    </row>
    <row r="939" spans="1:16" ht="19.5" customHeight="1">
      <c r="A939" s="2" t="s">
        <v>858</v>
      </c>
      <c r="B939" s="38">
        <v>46099</v>
      </c>
      <c r="C939" s="1">
        <v>1</v>
      </c>
      <c r="D939" s="1" t="s">
        <v>824</v>
      </c>
      <c r="E939" s="1" t="s">
        <v>103</v>
      </c>
      <c r="F939" s="8" t="s">
        <v>725</v>
      </c>
      <c r="G939" s="6">
        <v>1000000</v>
      </c>
      <c r="H939" s="6"/>
      <c r="I939" s="6"/>
      <c r="J939" s="7"/>
      <c r="K939" s="73"/>
      <c r="L939" s="73"/>
      <c r="M939" s="73"/>
      <c r="N939" s="73"/>
      <c r="O939" s="3" t="str">
        <f>IF(C939="","",IF(C939=5,IFERROR(INDEX(code_Note1!$F$13:$F$16,MATCH(E939,code_Note1!$E$13:$E$16,0)),INDEX(code_Note1!$F$16,1)),IF(B939&lt;code_Note1!$D$21,"No",IFERROR(VLOOKUP(C939,code_Note1!$D$3:$G$8,3,FALSE),""))))</f>
        <v>Yes</v>
      </c>
      <c r="P939" s="3" t="s">
        <v>832</v>
      </c>
    </row>
    <row r="940" spans="1:16" ht="19.5" customHeight="1">
      <c r="A940" s="2" t="s">
        <v>858</v>
      </c>
      <c r="B940" s="38">
        <v>46101</v>
      </c>
      <c r="C940" s="1">
        <v>5</v>
      </c>
      <c r="D940" s="1" t="s">
        <v>657</v>
      </c>
      <c r="E940" s="1" t="s">
        <v>657</v>
      </c>
      <c r="F940" s="8" t="s">
        <v>657</v>
      </c>
      <c r="G940" s="6">
        <v>0</v>
      </c>
      <c r="H940" s="6"/>
      <c r="I940" s="6"/>
      <c r="J940" s="7"/>
      <c r="K940" s="73">
        <v>300000</v>
      </c>
      <c r="L940" s="73"/>
      <c r="M940" s="73"/>
      <c r="N940" s="73"/>
      <c r="O940" s="3" t="str">
        <f>IF(C940="","",IF(C940=5,IFERROR(INDEX(code_Note1!$F$13:$F$16,MATCH(E940,code_Note1!$E$13:$E$16,0)),INDEX(code_Note1!$F$16,1)),IF(B940&lt;code_Note1!$D$21,"No",IFERROR(VLOOKUP(C940,code_Note1!$D$3:$G$8,3,FALSE),""))))</f>
        <v>Yes</v>
      </c>
      <c r="P940" s="3" t="s">
        <v>831</v>
      </c>
    </row>
    <row r="941" spans="1:16" ht="19.5" customHeight="1">
      <c r="A941" s="2" t="s">
        <v>858</v>
      </c>
      <c r="B941" s="38">
        <v>46101</v>
      </c>
      <c r="C941" s="1">
        <v>5</v>
      </c>
      <c r="D941" s="1" t="s">
        <v>657</v>
      </c>
      <c r="E941" s="1" t="s">
        <v>657</v>
      </c>
      <c r="F941" s="8" t="s">
        <v>657</v>
      </c>
      <c r="G941" s="6">
        <v>0</v>
      </c>
      <c r="H941" s="6"/>
      <c r="I941" s="6"/>
      <c r="J941" s="7"/>
      <c r="K941" s="73">
        <v>440000</v>
      </c>
      <c r="L941" s="73"/>
      <c r="M941" s="73"/>
      <c r="N941" s="73"/>
      <c r="O941" s="3" t="str">
        <f>IF(C941="","",IF(C941=5,IFERROR(INDEX(code_Note1!$F$13:$F$16,MATCH(E941,code_Note1!$E$13:$E$16,0)),INDEX(code_Note1!$F$16,1)),IF(B941&lt;code_Note1!$D$21,"No",IFERROR(VLOOKUP(C941,code_Note1!$D$3:$G$8,3,FALSE),""))))</f>
        <v>Yes</v>
      </c>
      <c r="P941" s="3" t="s">
        <v>831</v>
      </c>
    </row>
    <row r="942" spans="1:16" ht="19.5" customHeight="1">
      <c r="A942" s="2" t="s">
        <v>858</v>
      </c>
      <c r="B942" s="38">
        <v>46101</v>
      </c>
      <c r="C942" s="1">
        <v>5</v>
      </c>
      <c r="D942" s="1" t="s">
        <v>657</v>
      </c>
      <c r="E942" s="1" t="s">
        <v>657</v>
      </c>
      <c r="F942" s="8" t="s">
        <v>657</v>
      </c>
      <c r="G942" s="6">
        <v>0</v>
      </c>
      <c r="H942" s="6"/>
      <c r="I942" s="6"/>
      <c r="J942" s="7"/>
      <c r="K942" s="73">
        <v>110000</v>
      </c>
      <c r="L942" s="73"/>
      <c r="M942" s="73"/>
      <c r="N942" s="73"/>
      <c r="O942" s="3" t="str">
        <f>IF(C942="","",IF(C942=5,IFERROR(INDEX(code_Note1!$F$13:$F$16,MATCH(E942,code_Note1!$E$13:$E$16,0)),INDEX(code_Note1!$F$16,1)),IF(B942&lt;code_Note1!$D$21,"No",IFERROR(VLOOKUP(C942,code_Note1!$D$3:$G$8,3,FALSE),""))))</f>
        <v>Yes</v>
      </c>
      <c r="P942" s="3" t="s">
        <v>831</v>
      </c>
    </row>
    <row r="943" spans="1:16" ht="19.5" customHeight="1">
      <c r="A943" s="2" t="s">
        <v>858</v>
      </c>
      <c r="B943" s="38">
        <v>46101</v>
      </c>
      <c r="C943" s="1">
        <v>5</v>
      </c>
      <c r="D943" s="1" t="s">
        <v>841</v>
      </c>
      <c r="E943" s="1" t="s">
        <v>566</v>
      </c>
      <c r="F943" s="8" t="s">
        <v>726</v>
      </c>
      <c r="G943" s="6">
        <v>0</v>
      </c>
      <c r="H943" s="6"/>
      <c r="I943" s="6"/>
      <c r="J943" s="7"/>
      <c r="K943" s="73">
        <v>50000</v>
      </c>
      <c r="L943" s="73"/>
      <c r="M943" s="73"/>
      <c r="N943" s="73"/>
      <c r="O943" s="3" t="str">
        <f>IF(C943="","",IF(C943=5,IFERROR(INDEX(code_Note1!$F$13:$F$16,MATCH(E943,code_Note1!$E$13:$E$16,0)),INDEX(code_Note1!$F$16,1)),IF(B943&lt;code_Note1!$D$21,"No",IFERROR(VLOOKUP(C943,code_Note1!$D$3:$G$8,3,FALSE),""))))</f>
        <v>Yes/No</v>
      </c>
      <c r="P943" s="3" t="s">
        <v>843</v>
      </c>
    </row>
    <row r="944" spans="1:16" ht="19.5" customHeight="1">
      <c r="A944" s="2" t="s">
        <v>858</v>
      </c>
      <c r="B944" s="38">
        <v>46102</v>
      </c>
      <c r="C944" s="1">
        <v>3</v>
      </c>
      <c r="D944" s="1" t="s">
        <v>823</v>
      </c>
      <c r="E944" s="37" t="s">
        <v>12</v>
      </c>
      <c r="F944" s="8" t="s">
        <v>727</v>
      </c>
      <c r="G944" s="6">
        <v>390000</v>
      </c>
      <c r="H944" s="6"/>
      <c r="I944" s="6"/>
      <c r="J944" s="7"/>
      <c r="K944" s="73"/>
      <c r="L944" s="73"/>
      <c r="M944" s="73"/>
      <c r="N944" s="73"/>
      <c r="O944" s="3" t="str">
        <f>IF(C944="","",IF(C944=5,IFERROR(INDEX(code_Note1!$F$13:$F$16,MATCH(E944,code_Note1!$E$13:$E$16,0)),INDEX(code_Note1!$F$16,1)),IF(B944&lt;code_Note1!$D$21,"No",IFERROR(VLOOKUP(C944,code_Note1!$D$3:$G$8,3,FALSE),""))))</f>
        <v>yes</v>
      </c>
      <c r="P944" s="3" t="s">
        <v>832</v>
      </c>
    </row>
    <row r="945" spans="1:16" ht="19.5" customHeight="1">
      <c r="A945" s="2" t="s">
        <v>858</v>
      </c>
      <c r="B945" s="38">
        <v>46102</v>
      </c>
      <c r="C945" s="1">
        <v>1</v>
      </c>
      <c r="D945" s="1" t="s">
        <v>824</v>
      </c>
      <c r="E945" s="1" t="s">
        <v>728</v>
      </c>
      <c r="F945" s="8" t="s">
        <v>728</v>
      </c>
      <c r="G945" s="6">
        <v>5369000</v>
      </c>
      <c r="H945" s="6"/>
      <c r="I945" s="6"/>
      <c r="J945" s="7"/>
      <c r="K945" s="73"/>
      <c r="L945" s="73"/>
      <c r="M945" s="73"/>
      <c r="N945" s="73"/>
      <c r="O945" s="3" t="str">
        <f>IF(C945="","",IF(C945=5,IFERROR(INDEX(code_Note1!$F$13:$F$16,MATCH(E945,code_Note1!$E$13:$E$16,0)),INDEX(code_Note1!$F$16,1)),IF(B945&lt;code_Note1!$D$21,"No",IFERROR(VLOOKUP(C945,code_Note1!$D$3:$G$8,3,FALSE),""))))</f>
        <v>Yes</v>
      </c>
      <c r="P945" s="3" t="s">
        <v>832</v>
      </c>
    </row>
    <row r="946" spans="1:16" ht="19.5" customHeight="1">
      <c r="A946" s="2" t="s">
        <v>858</v>
      </c>
      <c r="B946" s="38">
        <v>46103</v>
      </c>
      <c r="C946" s="1">
        <v>3</v>
      </c>
      <c r="D946" s="1" t="s">
        <v>823</v>
      </c>
      <c r="E946" s="1" t="s">
        <v>38</v>
      </c>
      <c r="F946" s="8" t="s">
        <v>729</v>
      </c>
      <c r="G946" s="6">
        <v>300000</v>
      </c>
      <c r="H946" s="6"/>
      <c r="I946" s="6"/>
      <c r="J946" s="7"/>
      <c r="K946" s="73"/>
      <c r="L946" s="73"/>
      <c r="M946" s="73"/>
      <c r="N946" s="73"/>
      <c r="O946" s="3" t="str">
        <f>IF(C946="","",IF(C946=5,IFERROR(INDEX(code_Note1!$F$13:$F$16,MATCH(E946,code_Note1!$E$13:$E$16,0)),INDEX(code_Note1!$F$16,1)),IF(B946&lt;code_Note1!$D$21,"No",IFERROR(VLOOKUP(C946,code_Note1!$D$3:$G$8,3,FALSE),""))))</f>
        <v>yes</v>
      </c>
      <c r="P946" s="3" t="s">
        <v>832</v>
      </c>
    </row>
    <row r="947" spans="1:16" ht="19.5" customHeight="1">
      <c r="A947" s="2" t="s">
        <v>854</v>
      </c>
      <c r="B947" s="38">
        <v>46103</v>
      </c>
      <c r="C947" s="1">
        <v>2</v>
      </c>
      <c r="D947" s="1" t="s">
        <v>838</v>
      </c>
      <c r="E947" s="37" t="s">
        <v>51</v>
      </c>
      <c r="F947" s="8" t="s">
        <v>446</v>
      </c>
      <c r="G947" s="6">
        <v>2730000</v>
      </c>
      <c r="H947" s="6"/>
      <c r="I947" s="6"/>
      <c r="J947" s="7"/>
      <c r="K947" s="73"/>
      <c r="L947" s="73"/>
      <c r="M947" s="73"/>
      <c r="N947" s="73"/>
      <c r="O947" s="3" t="str">
        <f>IF(C947="","",IF(C947=5,IFERROR(INDEX(code_Note1!$F$13:$F$16,MATCH(E947,code_Note1!$E$13:$E$16,0)),INDEX(code_Note1!$F$16,1)),IF(B947&lt;code_Note1!$D$21,"No",IFERROR(VLOOKUP(C947,code_Note1!$D$3:$G$8,3,FALSE),""))))</f>
        <v>No</v>
      </c>
      <c r="P947" s="3" t="s">
        <v>831</v>
      </c>
    </row>
    <row r="948" spans="1:16" ht="19.5" customHeight="1">
      <c r="A948" s="2" t="s">
        <v>858</v>
      </c>
      <c r="B948" s="38">
        <v>46103</v>
      </c>
      <c r="C948" s="1">
        <v>1</v>
      </c>
      <c r="D948" s="1" t="s">
        <v>824</v>
      </c>
      <c r="E948" s="27" t="s">
        <v>715</v>
      </c>
      <c r="F948" s="8" t="s">
        <v>730</v>
      </c>
      <c r="G948" s="6">
        <v>150000</v>
      </c>
      <c r="H948" s="6"/>
      <c r="I948" s="6"/>
      <c r="J948" s="7"/>
      <c r="K948" s="73"/>
      <c r="L948" s="73"/>
      <c r="M948" s="73"/>
      <c r="N948" s="73"/>
      <c r="O948" s="3" t="str">
        <f>IF(C948="","",IF(C948=5,IFERROR(INDEX(code_Note1!$F$13:$F$16,MATCH(E948,code_Note1!$E$13:$E$16,0)),INDEX(code_Note1!$F$16,1)),IF(B948&lt;code_Note1!$D$21,"No",IFERROR(VLOOKUP(C948,code_Note1!$D$3:$G$8,3,FALSE),""))))</f>
        <v>Yes</v>
      </c>
      <c r="P948" s="3" t="s">
        <v>832</v>
      </c>
    </row>
    <row r="949" spans="1:16" ht="19.5" customHeight="1">
      <c r="A949" s="2" t="s">
        <v>858</v>
      </c>
      <c r="B949" s="38">
        <v>46104</v>
      </c>
      <c r="C949" s="1">
        <v>1</v>
      </c>
      <c r="D949" s="1" t="s">
        <v>824</v>
      </c>
      <c r="E949" s="1" t="s">
        <v>293</v>
      </c>
      <c r="F949" s="8" t="s">
        <v>731</v>
      </c>
      <c r="G949" s="6">
        <v>3380000</v>
      </c>
      <c r="H949" s="6"/>
      <c r="I949" s="6"/>
      <c r="J949" s="7"/>
      <c r="K949" s="73"/>
      <c r="L949" s="73"/>
      <c r="M949" s="73"/>
      <c r="N949" s="73"/>
      <c r="O949" s="3" t="str">
        <f>IF(C949="","",IF(C949=5,IFERROR(INDEX(code_Note1!$F$13:$F$16,MATCH(E949,code_Note1!$E$13:$E$16,0)),INDEX(code_Note1!$F$16,1)),IF(B949&lt;code_Note1!$D$21,"No",IFERROR(VLOOKUP(C949,code_Note1!$D$3:$G$8,3,FALSE),""))))</f>
        <v>Yes</v>
      </c>
      <c r="P949" s="3" t="s">
        <v>832</v>
      </c>
    </row>
    <row r="950" spans="1:16" ht="19.5" customHeight="1">
      <c r="A950" s="2" t="s">
        <v>858</v>
      </c>
      <c r="B950" s="38">
        <v>46104</v>
      </c>
      <c r="C950" s="1">
        <v>5</v>
      </c>
      <c r="D950" s="1" t="s">
        <v>657</v>
      </c>
      <c r="E950" s="1" t="s">
        <v>657</v>
      </c>
      <c r="F950" s="8" t="s">
        <v>657</v>
      </c>
      <c r="G950" s="6">
        <v>0</v>
      </c>
      <c r="H950" s="6"/>
      <c r="I950" s="6"/>
      <c r="J950" s="7"/>
      <c r="K950" s="73">
        <v>60000</v>
      </c>
      <c r="L950" s="73"/>
      <c r="M950" s="73"/>
      <c r="N950" s="73"/>
      <c r="O950" s="3" t="str">
        <f>IF(C950="","",IF(C950=5,IFERROR(INDEX(code_Note1!$F$13:$F$16,MATCH(E950,code_Note1!$E$13:$E$16,0)),INDEX(code_Note1!$F$16,1)),IF(B950&lt;code_Note1!$D$21,"No",IFERROR(VLOOKUP(C950,code_Note1!$D$3:$G$8,3,FALSE),""))))</f>
        <v>Yes</v>
      </c>
      <c r="P950" s="3" t="s">
        <v>831</v>
      </c>
    </row>
    <row r="951" spans="1:16" ht="19.5" customHeight="1">
      <c r="A951" s="2" t="s">
        <v>858</v>
      </c>
      <c r="B951" s="38">
        <v>46104</v>
      </c>
      <c r="C951" s="1">
        <v>1</v>
      </c>
      <c r="D951" s="1" t="s">
        <v>824</v>
      </c>
      <c r="E951" s="27" t="s">
        <v>715</v>
      </c>
      <c r="F951" s="8" t="s">
        <v>732</v>
      </c>
      <c r="G951" s="6">
        <v>150000</v>
      </c>
      <c r="H951" s="6"/>
      <c r="I951" s="6"/>
      <c r="J951" s="7"/>
      <c r="K951" s="73"/>
      <c r="L951" s="73"/>
      <c r="M951" s="73"/>
      <c r="N951" s="73"/>
      <c r="O951" s="3" t="str">
        <f>IF(C951="","",IF(C951=5,IFERROR(INDEX(code_Note1!$F$13:$F$16,MATCH(E951,code_Note1!$E$13:$E$16,0)),INDEX(code_Note1!$F$16,1)),IF(B951&lt;code_Note1!$D$21,"No",IFERROR(VLOOKUP(C951,code_Note1!$D$3:$G$8,3,FALSE),""))))</f>
        <v>Yes</v>
      </c>
      <c r="P951" s="3" t="s">
        <v>832</v>
      </c>
    </row>
    <row r="952" spans="1:16" ht="19.5" customHeight="1">
      <c r="A952" s="2" t="s">
        <v>858</v>
      </c>
      <c r="B952" s="38">
        <v>46105</v>
      </c>
      <c r="C952" s="1">
        <v>1</v>
      </c>
      <c r="D952" s="1" t="s">
        <v>824</v>
      </c>
      <c r="E952" s="1" t="s">
        <v>291</v>
      </c>
      <c r="F952" s="8" t="s">
        <v>733</v>
      </c>
      <c r="G952" s="6">
        <v>390000</v>
      </c>
      <c r="H952" s="6"/>
      <c r="I952" s="6"/>
      <c r="J952" s="7"/>
      <c r="K952" s="81"/>
      <c r="L952" s="81"/>
      <c r="M952" s="81"/>
      <c r="N952" s="81"/>
      <c r="O952" s="3" t="str">
        <f>IF(C952="","",IF(C952=5,IFERROR(INDEX(code_Note1!$F$13:$F$16,MATCH(E952,code_Note1!$E$13:$E$16,0)),INDEX(code_Note1!$F$16,1)),IF(B952&lt;code_Note1!$D$21,"No",IFERROR(VLOOKUP(C952,code_Note1!$D$3:$G$8,3,FALSE),""))))</f>
        <v>Yes</v>
      </c>
      <c r="P952" s="3" t="s">
        <v>832</v>
      </c>
    </row>
    <row r="953" spans="1:16" ht="19.5" customHeight="1">
      <c r="A953" s="2" t="s">
        <v>858</v>
      </c>
      <c r="B953" s="38">
        <v>46105</v>
      </c>
      <c r="C953" s="1">
        <v>1</v>
      </c>
      <c r="D953" s="1" t="s">
        <v>824</v>
      </c>
      <c r="E953" s="1" t="s">
        <v>103</v>
      </c>
      <c r="F953" s="8" t="s">
        <v>734</v>
      </c>
      <c r="G953" s="6">
        <v>2000000</v>
      </c>
      <c r="H953" s="6"/>
      <c r="I953" s="6"/>
      <c r="J953" s="7"/>
      <c r="K953" s="73"/>
      <c r="L953" s="73"/>
      <c r="M953" s="73"/>
      <c r="N953" s="73"/>
      <c r="O953" s="3" t="str">
        <f>IF(C953="","",IF(C953=5,IFERROR(INDEX(code_Note1!$F$13:$F$16,MATCH(E953,code_Note1!$E$13:$E$16,0)),INDEX(code_Note1!$F$16,1)),IF(B953&lt;code_Note1!$D$21,"No",IFERROR(VLOOKUP(C953,code_Note1!$D$3:$G$8,3,FALSE),""))))</f>
        <v>Yes</v>
      </c>
      <c r="P953" s="3" t="s">
        <v>832</v>
      </c>
    </row>
    <row r="954" spans="1:16" ht="19.5" customHeight="1">
      <c r="A954" s="2" t="s">
        <v>858</v>
      </c>
      <c r="B954" s="38">
        <v>46105</v>
      </c>
      <c r="C954" s="1">
        <v>5</v>
      </c>
      <c r="D954" s="1" t="s">
        <v>657</v>
      </c>
      <c r="E954" s="1" t="s">
        <v>657</v>
      </c>
      <c r="F954" s="8" t="s">
        <v>657</v>
      </c>
      <c r="G954" s="6">
        <v>0</v>
      </c>
      <c r="H954" s="6"/>
      <c r="I954" s="6"/>
      <c r="J954" s="7"/>
      <c r="K954" s="73">
        <v>60000</v>
      </c>
      <c r="L954" s="73"/>
      <c r="M954" s="73"/>
      <c r="N954" s="73"/>
      <c r="O954" s="3" t="str">
        <f>IF(C954="","",IF(C954=5,IFERROR(INDEX(code_Note1!$F$13:$F$16,MATCH(E954,code_Note1!$E$13:$E$16,0)),INDEX(code_Note1!$F$16,1)),IF(B954&lt;code_Note1!$D$21,"No",IFERROR(VLOOKUP(C954,code_Note1!$D$3:$G$8,3,FALSE),""))))</f>
        <v>Yes</v>
      </c>
      <c r="P954" s="3" t="s">
        <v>831</v>
      </c>
    </row>
    <row r="955" spans="1:16" ht="19.5" customHeight="1">
      <c r="A955" s="2" t="s">
        <v>858</v>
      </c>
      <c r="B955" s="38">
        <v>46106</v>
      </c>
      <c r="C955" s="1">
        <v>1</v>
      </c>
      <c r="D955" s="1" t="s">
        <v>824</v>
      </c>
      <c r="E955" s="1" t="s">
        <v>291</v>
      </c>
      <c r="F955" s="8" t="s">
        <v>735</v>
      </c>
      <c r="G955" s="6">
        <v>396000</v>
      </c>
      <c r="H955" s="6"/>
      <c r="I955" s="6"/>
      <c r="J955" s="7"/>
      <c r="K955" s="73"/>
      <c r="L955" s="73"/>
      <c r="M955" s="73"/>
      <c r="N955" s="73"/>
      <c r="O955" s="3" t="str">
        <f>IF(C955="","",IF(C955=5,IFERROR(INDEX(code_Note1!$F$13:$F$16,MATCH(E955,code_Note1!$E$13:$E$16,0)),INDEX(code_Note1!$F$16,1)),IF(B955&lt;code_Note1!$D$21,"No",IFERROR(VLOOKUP(C955,code_Note1!$D$3:$G$8,3,FALSE),""))))</f>
        <v>Yes</v>
      </c>
      <c r="P955" s="3" t="s">
        <v>832</v>
      </c>
    </row>
    <row r="956" spans="1:16" ht="19.5" customHeight="1">
      <c r="A956" s="2" t="s">
        <v>858</v>
      </c>
      <c r="B956" s="38">
        <v>46106</v>
      </c>
      <c r="C956" s="1">
        <v>1</v>
      </c>
      <c r="D956" s="1" t="s">
        <v>824</v>
      </c>
      <c r="E956" s="1" t="s">
        <v>293</v>
      </c>
      <c r="F956" s="8" t="s">
        <v>736</v>
      </c>
      <c r="G956" s="6">
        <v>3432000</v>
      </c>
      <c r="H956" s="6"/>
      <c r="I956" s="6"/>
      <c r="J956" s="7"/>
      <c r="K956" s="73"/>
      <c r="L956" s="73"/>
      <c r="M956" s="73"/>
      <c r="N956" s="73"/>
      <c r="O956" s="3" t="str">
        <f>IF(C956="","",IF(C956=5,IFERROR(INDEX(code_Note1!$F$13:$F$16,MATCH(E956,code_Note1!$E$13:$E$16,0)),INDEX(code_Note1!$F$16,1)),IF(B956&lt;code_Note1!$D$21,"No",IFERROR(VLOOKUP(C956,code_Note1!$D$3:$G$8,3,FALSE),""))))</f>
        <v>Yes</v>
      </c>
      <c r="P956" s="3" t="s">
        <v>832</v>
      </c>
    </row>
    <row r="957" spans="1:16" ht="19.5" customHeight="1">
      <c r="A957" s="2" t="s">
        <v>854</v>
      </c>
      <c r="B957" s="38">
        <v>46106</v>
      </c>
      <c r="C957" s="1" t="s">
        <v>844</v>
      </c>
      <c r="D957" s="1" t="s">
        <v>826</v>
      </c>
      <c r="E957" s="30" t="s">
        <v>715</v>
      </c>
      <c r="F957" s="8" t="s">
        <v>737</v>
      </c>
      <c r="G957" s="6">
        <v>0</v>
      </c>
      <c r="H957" s="6">
        <v>4000</v>
      </c>
      <c r="I957" s="6"/>
      <c r="J957" s="7"/>
      <c r="K957" s="73"/>
      <c r="L957" s="73"/>
      <c r="M957" s="73"/>
      <c r="N957" s="73"/>
      <c r="O957" s="3" t="str">
        <f>IF(C957="","",IF(C957=5,IFERROR(INDEX(code_Note1!$F$13:$F$16,MATCH(E957,code_Note1!$E$13:$E$16,0)),INDEX(code_Note1!$F$16,1)),IF(B957&lt;code_Note1!$D$21,"No",IFERROR(VLOOKUP(C957,code_Note1!$D$3:$G$8,3,FALSE),""))))</f>
        <v>No</v>
      </c>
      <c r="P957" s="3" t="s">
        <v>833</v>
      </c>
    </row>
    <row r="958" spans="1:16" ht="19.5" customHeight="1">
      <c r="A958" s="2" t="s">
        <v>854</v>
      </c>
      <c r="B958" s="38">
        <v>46106</v>
      </c>
      <c r="C958" s="1" t="s">
        <v>845</v>
      </c>
      <c r="D958" s="1" t="s">
        <v>825</v>
      </c>
      <c r="E958" s="28" t="s">
        <v>602</v>
      </c>
      <c r="F958" s="8" t="s">
        <v>738</v>
      </c>
      <c r="G958" s="6">
        <v>0</v>
      </c>
      <c r="H958" s="6">
        <v>15000</v>
      </c>
      <c r="I958" s="6"/>
      <c r="J958" s="7"/>
      <c r="K958" s="73"/>
      <c r="L958" s="73"/>
      <c r="M958" s="73"/>
      <c r="N958" s="73"/>
      <c r="O958" s="3" t="str">
        <f>IF(C958="","",IF(C958=5,IFERROR(INDEX(code_Note1!$F$13:$F$16,MATCH(E958,code_Note1!$E$13:$E$16,0)),INDEX(code_Note1!$F$16,1)),IF(B958&lt;code_Note1!$D$21,"No",IFERROR(VLOOKUP(C958,code_Note1!$D$3:$G$8,3,FALSE),""))))</f>
        <v>No</v>
      </c>
      <c r="P958" s="3" t="s">
        <v>833</v>
      </c>
    </row>
    <row r="959" spans="1:16" ht="19.5" customHeight="1">
      <c r="A959" s="2" t="s">
        <v>858</v>
      </c>
      <c r="B959" s="38">
        <v>46107</v>
      </c>
      <c r="C959" s="1">
        <v>5</v>
      </c>
      <c r="D959" s="1" t="s">
        <v>657</v>
      </c>
      <c r="E959" s="1" t="s">
        <v>657</v>
      </c>
      <c r="F959" s="8" t="s">
        <v>657</v>
      </c>
      <c r="G959" s="6">
        <v>0</v>
      </c>
      <c r="H959" s="6"/>
      <c r="I959" s="6"/>
      <c r="J959" s="7"/>
      <c r="K959" s="73">
        <v>500000</v>
      </c>
      <c r="L959" s="73"/>
      <c r="M959" s="73"/>
      <c r="N959" s="73"/>
      <c r="O959" s="3" t="str">
        <f>IF(C959="","",IF(C959=5,IFERROR(INDEX(code_Note1!$F$13:$F$16,MATCH(E959,code_Note1!$E$13:$E$16,0)),INDEX(code_Note1!$F$16,1)),IF(B959&lt;code_Note1!$D$21,"No",IFERROR(VLOOKUP(C959,code_Note1!$D$3:$G$8,3,FALSE),""))))</f>
        <v>Yes</v>
      </c>
      <c r="P959" s="3" t="s">
        <v>831</v>
      </c>
    </row>
    <row r="960" spans="1:16" ht="19.5" customHeight="1">
      <c r="A960" s="2" t="s">
        <v>858</v>
      </c>
      <c r="B960" s="38">
        <v>46108</v>
      </c>
      <c r="C960" s="1">
        <v>1</v>
      </c>
      <c r="D960" s="1" t="s">
        <v>824</v>
      </c>
      <c r="E960" s="1" t="s">
        <v>56</v>
      </c>
      <c r="F960" s="8" t="s">
        <v>739</v>
      </c>
      <c r="G960" s="6">
        <v>850000</v>
      </c>
      <c r="H960" s="6"/>
      <c r="I960" s="6"/>
      <c r="J960" s="7"/>
      <c r="K960" s="73"/>
      <c r="L960" s="73"/>
      <c r="M960" s="73"/>
      <c r="N960" s="73"/>
      <c r="O960" s="3" t="str">
        <f>IF(C960="","",IF(C960=5,IFERROR(INDEX(code_Note1!$F$13:$F$16,MATCH(E960,code_Note1!$E$13:$E$16,0)),INDEX(code_Note1!$F$16,1)),IF(B960&lt;code_Note1!$D$21,"No",IFERROR(VLOOKUP(C960,code_Note1!$D$3:$G$8,3,FALSE),""))))</f>
        <v>Yes</v>
      </c>
      <c r="P960" s="3" t="s">
        <v>832</v>
      </c>
    </row>
    <row r="961" spans="1:16" ht="19.5" customHeight="1">
      <c r="A961" s="2" t="s">
        <v>854</v>
      </c>
      <c r="B961" s="38">
        <v>46108</v>
      </c>
      <c r="C961" s="1">
        <v>2</v>
      </c>
      <c r="D961" s="1" t="s">
        <v>838</v>
      </c>
      <c r="E961" s="1" t="s">
        <v>355</v>
      </c>
      <c r="F961" s="8" t="s">
        <v>102</v>
      </c>
      <c r="G961" s="6">
        <v>500000</v>
      </c>
      <c r="H961" s="6"/>
      <c r="I961" s="6"/>
      <c r="J961" s="7"/>
      <c r="K961" s="73"/>
      <c r="L961" s="73"/>
      <c r="M961" s="73"/>
      <c r="N961" s="73"/>
      <c r="O961" s="3" t="str">
        <f>IF(C961="","",IF(C961=5,IFERROR(INDEX(code_Note1!$F$13:$F$16,MATCH(E961,code_Note1!$E$13:$E$16,0)),INDEX(code_Note1!$F$16,1)),IF(B961&lt;code_Note1!$D$21,"No",IFERROR(VLOOKUP(C961,code_Note1!$D$3:$G$8,3,FALSE),""))))</f>
        <v>No</v>
      </c>
      <c r="P961" s="3" t="s">
        <v>831</v>
      </c>
    </row>
    <row r="962" spans="1:16" ht="19.5" customHeight="1">
      <c r="A962" s="2" t="s">
        <v>858</v>
      </c>
      <c r="B962" s="38">
        <v>46108</v>
      </c>
      <c r="C962" s="1">
        <v>5</v>
      </c>
      <c r="D962" s="1" t="s">
        <v>657</v>
      </c>
      <c r="E962" s="1" t="s">
        <v>657</v>
      </c>
      <c r="F962" s="8" t="s">
        <v>436</v>
      </c>
      <c r="G962" s="6">
        <v>0</v>
      </c>
      <c r="H962" s="6">
        <v>0</v>
      </c>
      <c r="I962" s="6"/>
      <c r="J962" s="7"/>
      <c r="K962" s="73">
        <v>60000</v>
      </c>
      <c r="L962" s="73"/>
      <c r="M962" s="73"/>
      <c r="N962" s="73"/>
      <c r="O962" s="3" t="str">
        <f>IF(C962="","",IF(C962=5,IFERROR(INDEX(code_Note1!$F$13:$F$16,MATCH(E962,code_Note1!$E$13:$E$16,0)),INDEX(code_Note1!$F$16,1)),IF(B962&lt;code_Note1!$D$21,"No",IFERROR(VLOOKUP(C962,code_Note1!$D$3:$G$8,3,FALSE),""))))</f>
        <v>Yes</v>
      </c>
      <c r="P962" s="3" t="s">
        <v>831</v>
      </c>
    </row>
    <row r="963" spans="1:16" ht="19.5" customHeight="1">
      <c r="A963" s="2" t="s">
        <v>858</v>
      </c>
      <c r="B963" s="38">
        <v>46108</v>
      </c>
      <c r="C963" s="1">
        <v>3</v>
      </c>
      <c r="D963" s="1" t="s">
        <v>823</v>
      </c>
      <c r="E963" s="1" t="s">
        <v>12</v>
      </c>
      <c r="F963" s="8" t="s">
        <v>210</v>
      </c>
      <c r="G963" s="6">
        <v>2180000</v>
      </c>
      <c r="H963" s="6"/>
      <c r="I963" s="6"/>
      <c r="J963" s="7"/>
      <c r="K963" s="73"/>
      <c r="L963" s="73"/>
      <c r="M963" s="73"/>
      <c r="N963" s="73"/>
      <c r="O963" s="3" t="str">
        <f>IF(C963="","",IF(C963=5,IFERROR(INDEX(code_Note1!$F$13:$F$16,MATCH(E963,code_Note1!$E$13:$E$16,0)),INDEX(code_Note1!$F$16,1)),IF(B963&lt;code_Note1!$D$21,"No",IFERROR(VLOOKUP(C963,code_Note1!$D$3:$G$8,3,FALSE),""))))</f>
        <v>yes</v>
      </c>
      <c r="P963" s="3" t="s">
        <v>832</v>
      </c>
    </row>
    <row r="964" spans="1:16" ht="19.5" customHeight="1">
      <c r="A964" s="2" t="s">
        <v>858</v>
      </c>
      <c r="B964" s="38">
        <v>46109</v>
      </c>
      <c r="C964" s="1">
        <v>3</v>
      </c>
      <c r="D964" s="1" t="s">
        <v>823</v>
      </c>
      <c r="E964" s="1" t="s">
        <v>44</v>
      </c>
      <c r="F964" s="8" t="s">
        <v>740</v>
      </c>
      <c r="G964" s="6">
        <v>300000</v>
      </c>
      <c r="H964" s="6"/>
      <c r="I964" s="6"/>
      <c r="J964" s="7"/>
      <c r="K964" s="73"/>
      <c r="L964" s="73"/>
      <c r="M964" s="73"/>
      <c r="N964" s="73"/>
      <c r="O964" s="3" t="str">
        <f>IF(C964="","",IF(C964=5,IFERROR(INDEX(code_Note1!$F$13:$F$16,MATCH(E964,code_Note1!$E$13:$E$16,0)),INDEX(code_Note1!$F$16,1)),IF(B964&lt;code_Note1!$D$21,"No",IFERROR(VLOOKUP(C964,code_Note1!$D$3:$G$8,3,FALSE),""))))</f>
        <v>yes</v>
      </c>
      <c r="P964" s="3" t="s">
        <v>832</v>
      </c>
    </row>
    <row r="965" spans="1:16" ht="19.5" customHeight="1">
      <c r="A965" s="2" t="s">
        <v>854</v>
      </c>
      <c r="B965" s="38">
        <v>46112</v>
      </c>
      <c r="C965" s="1">
        <v>2</v>
      </c>
      <c r="D965" s="1" t="s">
        <v>838</v>
      </c>
      <c r="E965" s="37" t="s">
        <v>483</v>
      </c>
      <c r="F965" s="8" t="s">
        <v>741</v>
      </c>
      <c r="G965" s="6">
        <v>530000</v>
      </c>
      <c r="H965" s="6"/>
      <c r="I965" s="6"/>
      <c r="J965" s="7"/>
      <c r="K965" s="73"/>
      <c r="L965" s="73"/>
      <c r="M965" s="73"/>
      <c r="N965" s="73"/>
      <c r="O965" s="3" t="str">
        <f>IF(C965="","",IF(C965=5,IFERROR(INDEX(code_Note1!$F$13:$F$16,MATCH(E965,code_Note1!$E$13:$E$16,0)),INDEX(code_Note1!$F$16,1)),IF(B965&lt;code_Note1!$D$21,"No",IFERROR(VLOOKUP(C965,code_Note1!$D$3:$G$8,3,FALSE),""))))</f>
        <v>No</v>
      </c>
      <c r="P965" s="3" t="s">
        <v>831</v>
      </c>
    </row>
    <row r="966" spans="1:16" ht="19.5" customHeight="1">
      <c r="A966" s="2" t="s">
        <v>858</v>
      </c>
      <c r="B966" s="38">
        <v>46114</v>
      </c>
      <c r="C966" s="1">
        <v>1</v>
      </c>
      <c r="D966" s="1" t="s">
        <v>824</v>
      </c>
      <c r="E966" s="1" t="s">
        <v>285</v>
      </c>
      <c r="F966" s="8" t="s">
        <v>284</v>
      </c>
      <c r="G966" s="6">
        <v>21910245</v>
      </c>
      <c r="H966" s="6"/>
      <c r="I966" s="6"/>
      <c r="J966" s="7"/>
      <c r="K966" s="73"/>
      <c r="L966" s="73"/>
      <c r="M966" s="73"/>
      <c r="N966" s="73"/>
      <c r="O966" s="3" t="str">
        <f>IF(C966="","",IF(C966=5,IFERROR(INDEX(code_Note1!$F$13:$F$16,MATCH(E966,code_Note1!$E$13:$E$16,0)),INDEX(code_Note1!$F$16,1)),IF(B966&lt;code_Note1!$D$21,"No",IFERROR(VLOOKUP(C966,code_Note1!$D$3:$G$8,3,FALSE),""))))</f>
        <v>Yes</v>
      </c>
      <c r="P966" s="3" t="s">
        <v>832</v>
      </c>
    </row>
    <row r="967" spans="1:16" ht="19.5" customHeight="1">
      <c r="A967" s="2" t="s">
        <v>858</v>
      </c>
      <c r="B967" s="38">
        <v>46114</v>
      </c>
      <c r="C967" s="1">
        <v>1</v>
      </c>
      <c r="D967" s="1" t="s">
        <v>824</v>
      </c>
      <c r="E967" s="1" t="s">
        <v>285</v>
      </c>
      <c r="F967" s="8" t="s">
        <v>284</v>
      </c>
      <c r="G967" s="6">
        <v>5296824</v>
      </c>
      <c r="H967" s="6"/>
      <c r="I967" s="6"/>
      <c r="J967" s="7"/>
      <c r="K967" s="73"/>
      <c r="L967" s="73"/>
      <c r="M967" s="73"/>
      <c r="N967" s="73"/>
      <c r="O967" s="3" t="str">
        <f>IF(C967="","",IF(C967=5,IFERROR(INDEX(code_Note1!$F$13:$F$16,MATCH(E967,code_Note1!$E$13:$E$16,0)),INDEX(code_Note1!$F$16,1)),IF(B967&lt;code_Note1!$D$21,"No",IFERROR(VLOOKUP(C967,code_Note1!$D$3:$G$8,3,FALSE),""))))</f>
        <v>Yes</v>
      </c>
      <c r="P967" s="3" t="s">
        <v>832</v>
      </c>
    </row>
    <row r="968" spans="1:16" ht="19.5" customHeight="1">
      <c r="A968" s="2" t="s">
        <v>858</v>
      </c>
      <c r="B968" s="38">
        <v>46114</v>
      </c>
      <c r="C968" s="1">
        <v>1</v>
      </c>
      <c r="D968" s="1" t="s">
        <v>824</v>
      </c>
      <c r="E968" s="1" t="s">
        <v>285</v>
      </c>
      <c r="F968" s="8" t="s">
        <v>284</v>
      </c>
      <c r="G968" s="6">
        <v>7935069</v>
      </c>
      <c r="H968" s="6"/>
      <c r="I968" s="6"/>
      <c r="J968" s="7"/>
      <c r="K968" s="73"/>
      <c r="L968" s="73"/>
      <c r="M968" s="73"/>
      <c r="N968" s="73"/>
      <c r="O968" s="3" t="str">
        <f>IF(C968="","",IF(C968=5,IFERROR(INDEX(code_Note1!$F$13:$F$16,MATCH(E968,code_Note1!$E$13:$E$16,0)),INDEX(code_Note1!$F$16,1)),IF(B968&lt;code_Note1!$D$21,"No",IFERROR(VLOOKUP(C968,code_Note1!$D$3:$G$8,3,FALSE),""))))</f>
        <v>Yes</v>
      </c>
      <c r="P968" s="3" t="s">
        <v>832</v>
      </c>
    </row>
    <row r="969" spans="1:16" ht="19.5" customHeight="1">
      <c r="A969" s="2" t="s">
        <v>858</v>
      </c>
      <c r="B969" s="38">
        <v>46114</v>
      </c>
      <c r="C969" s="1">
        <v>1</v>
      </c>
      <c r="D969" s="1" t="s">
        <v>824</v>
      </c>
      <c r="E969" s="1" t="s">
        <v>614</v>
      </c>
      <c r="F969" s="8" t="s">
        <v>742</v>
      </c>
      <c r="G969" s="6">
        <v>82555</v>
      </c>
      <c r="H969" s="6"/>
      <c r="I969" s="6"/>
      <c r="J969" s="7"/>
      <c r="K969" s="73"/>
      <c r="L969" s="73"/>
      <c r="M969" s="73"/>
      <c r="N969" s="73"/>
      <c r="O969" s="3" t="str">
        <f>IF(C969="","",IF(C969=5,IFERROR(INDEX(code_Note1!$F$13:$F$16,MATCH(E969,code_Note1!$E$13:$E$16,0)),INDEX(code_Note1!$F$16,1)),IF(B969&lt;code_Note1!$D$21,"No",IFERROR(VLOOKUP(C969,code_Note1!$D$3:$G$8,3,FALSE),""))))</f>
        <v>Yes</v>
      </c>
      <c r="P969" s="3" t="s">
        <v>832</v>
      </c>
    </row>
    <row r="970" spans="1:16" ht="19.5" customHeight="1">
      <c r="A970" s="2" t="s">
        <v>858</v>
      </c>
      <c r="B970" s="38">
        <v>46114</v>
      </c>
      <c r="C970" s="1">
        <v>1</v>
      </c>
      <c r="D970" s="1" t="s">
        <v>824</v>
      </c>
      <c r="E970" s="1" t="s">
        <v>293</v>
      </c>
      <c r="F970" s="8" t="s">
        <v>743</v>
      </c>
      <c r="G970" s="6">
        <v>3250000</v>
      </c>
      <c r="H970" s="6"/>
      <c r="I970" s="6"/>
      <c r="J970" s="7"/>
      <c r="K970" s="73"/>
      <c r="L970" s="73"/>
      <c r="M970" s="73"/>
      <c r="N970" s="73"/>
      <c r="O970" s="3" t="str">
        <f>IF(C970="","",IF(C970=5,IFERROR(INDEX(code_Note1!$F$13:$F$16,MATCH(E970,code_Note1!$E$13:$E$16,0)),INDEX(code_Note1!$F$16,1)),IF(B970&lt;code_Note1!$D$21,"No",IFERROR(VLOOKUP(C970,code_Note1!$D$3:$G$8,3,FALSE),""))))</f>
        <v>Yes</v>
      </c>
      <c r="P970" s="3" t="s">
        <v>832</v>
      </c>
    </row>
    <row r="971" spans="1:16" ht="19.5" customHeight="1">
      <c r="A971" s="2" t="s">
        <v>858</v>
      </c>
      <c r="B971" s="38">
        <v>46114</v>
      </c>
      <c r="C971" s="1">
        <v>1</v>
      </c>
      <c r="D971" s="1" t="s">
        <v>824</v>
      </c>
      <c r="E971" s="1" t="s">
        <v>291</v>
      </c>
      <c r="F971" s="8" t="s">
        <v>291</v>
      </c>
      <c r="G971" s="6">
        <v>375000</v>
      </c>
      <c r="H971" s="6"/>
      <c r="I971" s="6"/>
      <c r="J971" s="7"/>
      <c r="K971" s="73"/>
      <c r="L971" s="73"/>
      <c r="M971" s="73"/>
      <c r="N971" s="73"/>
      <c r="O971" s="3" t="str">
        <f>IF(C971="","",IF(C971=5,IFERROR(INDEX(code_Note1!$F$13:$F$16,MATCH(E971,code_Note1!$E$13:$E$16,0)),INDEX(code_Note1!$F$16,1)),IF(B971&lt;code_Note1!$D$21,"No",IFERROR(VLOOKUP(C971,code_Note1!$D$3:$G$8,3,FALSE),""))))</f>
        <v>Yes</v>
      </c>
      <c r="P971" s="3" t="s">
        <v>832</v>
      </c>
    </row>
    <row r="972" spans="1:16" ht="19.5" customHeight="1">
      <c r="A972" s="2" t="s">
        <v>858</v>
      </c>
      <c r="B972" s="38">
        <v>46114</v>
      </c>
      <c r="C972" s="1">
        <v>1</v>
      </c>
      <c r="D972" s="1" t="s">
        <v>824</v>
      </c>
      <c r="E972" s="1" t="s">
        <v>103</v>
      </c>
      <c r="F972" s="8" t="s">
        <v>355</v>
      </c>
      <c r="G972" s="6">
        <v>1000000</v>
      </c>
      <c r="H972" s="6"/>
      <c r="I972" s="6"/>
      <c r="J972" s="7"/>
      <c r="K972" s="73"/>
      <c r="L972" s="73"/>
      <c r="M972" s="73"/>
      <c r="N972" s="73"/>
      <c r="O972" s="3" t="str">
        <f>IF(C972="","",IF(C972=5,IFERROR(INDEX(code_Note1!$F$13:$F$16,MATCH(E972,code_Note1!$E$13:$E$16,0)),INDEX(code_Note1!$F$16,1)),IF(B972&lt;code_Note1!$D$21,"No",IFERROR(VLOOKUP(C972,code_Note1!$D$3:$G$8,3,FALSE),""))))</f>
        <v>Yes</v>
      </c>
      <c r="P972" s="3" t="s">
        <v>832</v>
      </c>
    </row>
    <row r="973" spans="1:16" ht="19.5" customHeight="1">
      <c r="A973" s="2" t="s">
        <v>858</v>
      </c>
      <c r="B973" s="38">
        <v>46114</v>
      </c>
      <c r="C973" s="1">
        <v>3</v>
      </c>
      <c r="D973" s="1" t="s">
        <v>823</v>
      </c>
      <c r="E973" s="1" t="s">
        <v>521</v>
      </c>
      <c r="F973" s="8" t="s">
        <v>744</v>
      </c>
      <c r="G973" s="6">
        <v>4500000</v>
      </c>
      <c r="H973" s="6"/>
      <c r="I973" s="6"/>
      <c r="J973" s="7"/>
      <c r="K973" s="73"/>
      <c r="L973" s="73"/>
      <c r="M973" s="73"/>
      <c r="N973" s="73"/>
      <c r="O973" s="3" t="str">
        <f>IF(C973="","",IF(C973=5,IFERROR(INDEX(code_Note1!$F$13:$F$16,MATCH(E973,code_Note1!$E$13:$E$16,0)),INDEX(code_Note1!$F$16,1)),IF(B973&lt;code_Note1!$D$21,"No",IFERROR(VLOOKUP(C973,code_Note1!$D$3:$G$8,3,FALSE),""))))</f>
        <v>yes</v>
      </c>
      <c r="P973" s="3" t="s">
        <v>832</v>
      </c>
    </row>
    <row r="974" spans="1:16" ht="19.5" customHeight="1">
      <c r="A974" s="2" t="s">
        <v>858</v>
      </c>
      <c r="B974" s="38">
        <v>46116</v>
      </c>
      <c r="C974" s="1">
        <v>3</v>
      </c>
      <c r="D974" s="1" t="s">
        <v>823</v>
      </c>
      <c r="E974" s="1" t="s">
        <v>521</v>
      </c>
      <c r="F974" s="8" t="s">
        <v>744</v>
      </c>
      <c r="G974" s="6">
        <v>5000000</v>
      </c>
      <c r="H974" s="82"/>
      <c r="I974" s="6"/>
      <c r="J974" s="7"/>
      <c r="K974" s="73"/>
      <c r="L974" s="73"/>
      <c r="M974" s="73"/>
      <c r="N974" s="73"/>
      <c r="O974" s="3" t="str">
        <f>IF(C974="","",IF(C974=5,IFERROR(INDEX(code_Note1!$F$13:$F$16,MATCH(E974,code_Note1!$E$13:$E$16,0)),INDEX(code_Note1!$F$16,1)),IF(B974&lt;code_Note1!$D$21,"No",IFERROR(VLOOKUP(C974,code_Note1!$D$3:$G$8,3,FALSE),""))))</f>
        <v>yes</v>
      </c>
      <c r="P974" s="3" t="s">
        <v>832</v>
      </c>
    </row>
    <row r="975" spans="1:16" ht="19.5" customHeight="1">
      <c r="A975" s="2" t="s">
        <v>858</v>
      </c>
      <c r="B975" s="38">
        <v>46116</v>
      </c>
      <c r="C975" s="1">
        <v>3</v>
      </c>
      <c r="D975" s="1" t="s">
        <v>823</v>
      </c>
      <c r="E975" s="1" t="s">
        <v>12</v>
      </c>
      <c r="F975" s="9" t="s">
        <v>12</v>
      </c>
      <c r="G975" s="6">
        <v>175000</v>
      </c>
      <c r="H975" s="82"/>
      <c r="I975" s="6"/>
      <c r="J975" s="7"/>
      <c r="K975" s="73"/>
      <c r="L975" s="73"/>
      <c r="M975" s="73"/>
      <c r="N975" s="73"/>
      <c r="O975" s="3" t="str">
        <f>IF(C975="","",IF(C975=5,IFERROR(INDEX(code_Note1!$F$13:$F$16,MATCH(E975,code_Note1!$E$13:$E$16,0)),INDEX(code_Note1!$F$16,1)),IF(B975&lt;code_Note1!$D$21,"No",IFERROR(VLOOKUP(C975,code_Note1!$D$3:$G$8,3,FALSE),""))))</f>
        <v>yes</v>
      </c>
      <c r="P975" s="3" t="s">
        <v>832</v>
      </c>
    </row>
    <row r="976" spans="1:16" ht="19.5" customHeight="1">
      <c r="A976" s="2" t="s">
        <v>858</v>
      </c>
      <c r="B976" s="38">
        <v>46116</v>
      </c>
      <c r="C976" s="1">
        <v>1</v>
      </c>
      <c r="D976" s="1" t="s">
        <v>824</v>
      </c>
      <c r="E976" s="1" t="s">
        <v>293</v>
      </c>
      <c r="F976" s="9" t="s">
        <v>745</v>
      </c>
      <c r="G976" s="6">
        <v>3315000</v>
      </c>
      <c r="H976" s="82"/>
      <c r="I976" s="6"/>
      <c r="J976" s="7"/>
      <c r="K976" s="73"/>
      <c r="L976" s="73"/>
      <c r="M976" s="73"/>
      <c r="N976" s="73"/>
      <c r="O976" s="3" t="str">
        <f>IF(C976="","",IF(C976=5,IFERROR(INDEX(code_Note1!$F$13:$F$16,MATCH(E976,code_Note1!$E$13:$E$16,0)),INDEX(code_Note1!$F$16,1)),IF(B976&lt;code_Note1!$D$21,"No",IFERROR(VLOOKUP(C976,code_Note1!$D$3:$G$8,3,FALSE),""))))</f>
        <v>Yes</v>
      </c>
      <c r="P976" s="3" t="s">
        <v>832</v>
      </c>
    </row>
    <row r="977" spans="1:16" ht="19.5" customHeight="1">
      <c r="A977" s="2" t="s">
        <v>858</v>
      </c>
      <c r="B977" s="38">
        <v>46116</v>
      </c>
      <c r="C977" s="1">
        <v>1</v>
      </c>
      <c r="D977" s="1" t="s">
        <v>824</v>
      </c>
      <c r="E977" s="1" t="s">
        <v>103</v>
      </c>
      <c r="F977" s="9" t="s">
        <v>746</v>
      </c>
      <c r="G977" s="6">
        <v>1100000</v>
      </c>
      <c r="H977" s="82"/>
      <c r="I977" s="6"/>
      <c r="J977" s="7"/>
      <c r="K977" s="73"/>
      <c r="L977" s="73"/>
      <c r="M977" s="73"/>
      <c r="N977" s="73"/>
      <c r="O977" s="3" t="str">
        <f>IF(C977="","",IF(C977=5,IFERROR(INDEX(code_Note1!$F$13:$F$16,MATCH(E977,code_Note1!$E$13:$E$16,0)),INDEX(code_Note1!$F$16,1)),IF(B977&lt;code_Note1!$D$21,"No",IFERROR(VLOOKUP(C977,code_Note1!$D$3:$G$8,3,FALSE),""))))</f>
        <v>Yes</v>
      </c>
      <c r="P977" s="3" t="s">
        <v>832</v>
      </c>
    </row>
    <row r="978" spans="1:16" ht="19.5" customHeight="1">
      <c r="A978" s="2" t="s">
        <v>858</v>
      </c>
      <c r="B978" s="38">
        <v>46116</v>
      </c>
      <c r="C978" s="1">
        <v>1</v>
      </c>
      <c r="D978" s="1" t="s">
        <v>824</v>
      </c>
      <c r="E978" s="1" t="s">
        <v>291</v>
      </c>
      <c r="F978" s="9" t="s">
        <v>747</v>
      </c>
      <c r="G978" s="6">
        <v>382000</v>
      </c>
      <c r="H978" s="82"/>
      <c r="I978" s="6"/>
      <c r="J978" s="7"/>
      <c r="K978" s="73"/>
      <c r="L978" s="73"/>
      <c r="M978" s="73"/>
      <c r="N978" s="73"/>
      <c r="O978" s="3" t="str">
        <f>IF(C978="","",IF(C978=5,IFERROR(INDEX(code_Note1!$F$13:$F$16,MATCH(E978,code_Note1!$E$13:$E$16,0)),INDEX(code_Note1!$F$16,1)),IF(B978&lt;code_Note1!$D$21,"No",IFERROR(VLOOKUP(C978,code_Note1!$D$3:$G$8,3,FALSE),""))))</f>
        <v>Yes</v>
      </c>
      <c r="P978" s="3" t="s">
        <v>832</v>
      </c>
    </row>
    <row r="979" spans="1:16" ht="19.5" customHeight="1">
      <c r="A979" s="2" t="s">
        <v>858</v>
      </c>
      <c r="B979" s="38">
        <v>46119</v>
      </c>
      <c r="C979" s="1">
        <v>3</v>
      </c>
      <c r="D979" s="1" t="s">
        <v>823</v>
      </c>
      <c r="E979" s="1" t="s">
        <v>44</v>
      </c>
      <c r="F979" s="8" t="s">
        <v>748</v>
      </c>
      <c r="G979" s="13">
        <v>225000</v>
      </c>
      <c r="H979" s="6"/>
      <c r="I979" s="6"/>
      <c r="J979" s="7"/>
      <c r="K979" s="73"/>
      <c r="L979" s="73"/>
      <c r="M979" s="73"/>
      <c r="N979" s="73"/>
      <c r="O979" s="3" t="str">
        <f>IF(C979="","",IF(C979=5,IFERROR(INDEX(code_Note1!$F$13:$F$16,MATCH(E979,code_Note1!$E$13:$E$16,0)),INDEX(code_Note1!$F$16,1)),IF(B979&lt;code_Note1!$D$21,"No",IFERROR(VLOOKUP(C979,code_Note1!$D$3:$G$8,3,FALSE),""))))</f>
        <v>yes</v>
      </c>
      <c r="P979" s="3" t="s">
        <v>832</v>
      </c>
    </row>
    <row r="980" spans="1:16" ht="19.5" customHeight="1">
      <c r="A980" s="2" t="s">
        <v>858</v>
      </c>
      <c r="B980" s="38">
        <v>46119</v>
      </c>
      <c r="C980" s="1">
        <v>5</v>
      </c>
      <c r="D980" s="1" t="s">
        <v>657</v>
      </c>
      <c r="E980" s="28" t="s">
        <v>657</v>
      </c>
      <c r="F980" s="11" t="s">
        <v>749</v>
      </c>
      <c r="G980" s="22">
        <v>0</v>
      </c>
      <c r="H980" s="6"/>
      <c r="I980" s="6"/>
      <c r="J980" s="7"/>
      <c r="K980" s="73">
        <v>17644000</v>
      </c>
      <c r="L980" s="73"/>
      <c r="M980" s="73"/>
      <c r="N980" s="73"/>
      <c r="O980" s="3" t="str">
        <f>IF(C980="","",IF(C980=5,IFERROR(INDEX(code_Note1!$F$13:$F$16,MATCH(E980,code_Note1!$E$13:$E$16,0)),INDEX(code_Note1!$F$16,1)),IF(B980&lt;code_Note1!$D$21,"No",IFERROR(VLOOKUP(C980,code_Note1!$D$3:$G$8,3,FALSE),""))))</f>
        <v>Yes</v>
      </c>
      <c r="P980" s="3" t="s">
        <v>831</v>
      </c>
    </row>
    <row r="981" spans="1:16" ht="19.5" customHeight="1">
      <c r="A981" s="2" t="s">
        <v>858</v>
      </c>
      <c r="B981" s="38">
        <v>46119</v>
      </c>
      <c r="C981" s="1">
        <v>5</v>
      </c>
      <c r="D981" s="1" t="s">
        <v>657</v>
      </c>
      <c r="E981" s="28" t="s">
        <v>657</v>
      </c>
      <c r="F981" s="11" t="s">
        <v>750</v>
      </c>
      <c r="G981" s="6">
        <v>0</v>
      </c>
      <c r="H981" s="6"/>
      <c r="I981" s="6"/>
      <c r="J981" s="7"/>
      <c r="K981" s="73">
        <v>250000</v>
      </c>
      <c r="L981" s="73"/>
      <c r="M981" s="73"/>
      <c r="N981" s="73"/>
      <c r="O981" s="3" t="str">
        <f>IF(C981="","",IF(C981=5,IFERROR(INDEX(code_Note1!$F$13:$F$16,MATCH(E981,code_Note1!$E$13:$E$16,0)),INDEX(code_Note1!$F$16,1)),IF(B981&lt;code_Note1!$D$21,"No",IFERROR(VLOOKUP(C981,code_Note1!$D$3:$G$8,3,FALSE),""))))</f>
        <v>Yes</v>
      </c>
      <c r="P981" s="3" t="s">
        <v>831</v>
      </c>
    </row>
    <row r="982" spans="1:16" ht="19.5" customHeight="1">
      <c r="A982" s="2" t="s">
        <v>858</v>
      </c>
      <c r="B982" s="38">
        <v>46119</v>
      </c>
      <c r="C982" s="1">
        <v>5</v>
      </c>
      <c r="D982" s="1" t="s">
        <v>657</v>
      </c>
      <c r="E982" s="1" t="s">
        <v>657</v>
      </c>
      <c r="F982" s="8" t="s">
        <v>751</v>
      </c>
      <c r="G982" s="6">
        <v>0</v>
      </c>
      <c r="H982" s="6"/>
      <c r="I982" s="6"/>
      <c r="J982" s="7"/>
      <c r="K982" s="73">
        <v>3000000</v>
      </c>
      <c r="L982" s="73"/>
      <c r="M982" s="73"/>
      <c r="N982" s="73"/>
      <c r="O982" s="3" t="str">
        <f>IF(C982="","",IF(C982=5,IFERROR(INDEX(code_Note1!$F$13:$F$16,MATCH(E982,code_Note1!$E$13:$E$16,0)),INDEX(code_Note1!$F$16,1)),IF(B982&lt;code_Note1!$D$21,"No",IFERROR(VLOOKUP(C982,code_Note1!$D$3:$G$8,3,FALSE),""))))</f>
        <v>Yes</v>
      </c>
      <c r="P982" s="3" t="s">
        <v>831</v>
      </c>
    </row>
    <row r="983" spans="1:16" ht="19.5" customHeight="1">
      <c r="A983" s="2" t="s">
        <v>858</v>
      </c>
      <c r="B983" s="38">
        <v>46119</v>
      </c>
      <c r="C983" s="1">
        <v>5</v>
      </c>
      <c r="D983" s="1" t="s">
        <v>657</v>
      </c>
      <c r="E983" s="1" t="s">
        <v>657</v>
      </c>
      <c r="F983" s="8" t="s">
        <v>752</v>
      </c>
      <c r="G983" s="6">
        <v>0</v>
      </c>
      <c r="H983" s="6"/>
      <c r="I983" s="6"/>
      <c r="J983" s="7"/>
      <c r="K983" s="73">
        <v>13350000</v>
      </c>
      <c r="L983" s="73"/>
      <c r="M983" s="73"/>
      <c r="N983" s="73"/>
      <c r="O983" s="3" t="str">
        <f>IF(C983="","",IF(C983=5,IFERROR(INDEX(code_Note1!$F$13:$F$16,MATCH(E983,code_Note1!$E$13:$E$16,0)),INDEX(code_Note1!$F$16,1)),IF(B983&lt;code_Note1!$D$21,"No",IFERROR(VLOOKUP(C983,code_Note1!$D$3:$G$8,3,FALSE),""))))</f>
        <v>Yes</v>
      </c>
      <c r="P983" s="3" t="s">
        <v>831</v>
      </c>
    </row>
    <row r="984" spans="1:16" ht="19.5" customHeight="1">
      <c r="A984" s="2" t="s">
        <v>858</v>
      </c>
      <c r="B984" s="38">
        <v>46119</v>
      </c>
      <c r="C984" s="1">
        <v>1</v>
      </c>
      <c r="D984" s="1" t="s">
        <v>824</v>
      </c>
      <c r="E984" s="1" t="s">
        <v>62</v>
      </c>
      <c r="F984" s="8" t="s">
        <v>753</v>
      </c>
      <c r="G984" s="6">
        <v>7296000</v>
      </c>
      <c r="H984" s="6"/>
      <c r="I984" s="6"/>
      <c r="J984" s="7"/>
      <c r="K984" s="73"/>
      <c r="L984" s="73"/>
      <c r="M984" s="73"/>
      <c r="N984" s="73"/>
      <c r="O984" s="3" t="str">
        <f>IF(C984="","",IF(C984=5,IFERROR(INDEX(code_Note1!$F$13:$F$16,MATCH(E984,code_Note1!$E$13:$E$16,0)),INDEX(code_Note1!$F$16,1)),IF(B984&lt;code_Note1!$D$21,"No",IFERROR(VLOOKUP(C984,code_Note1!$D$3:$G$8,3,FALSE),""))))</f>
        <v>Yes</v>
      </c>
      <c r="P984" s="3" t="s">
        <v>832</v>
      </c>
    </row>
    <row r="985" spans="1:16" ht="19.5" customHeight="1">
      <c r="A985" s="2" t="s">
        <v>858</v>
      </c>
      <c r="B985" s="38">
        <v>46119</v>
      </c>
      <c r="C985" s="1">
        <v>1</v>
      </c>
      <c r="D985" s="1" t="s">
        <v>824</v>
      </c>
      <c r="E985" s="1" t="s">
        <v>755</v>
      </c>
      <c r="F985" s="8" t="s">
        <v>754</v>
      </c>
      <c r="G985" s="6">
        <v>1524000</v>
      </c>
      <c r="H985" s="6"/>
      <c r="I985" s="6"/>
      <c r="J985" s="7"/>
      <c r="K985" s="73"/>
      <c r="L985" s="73"/>
      <c r="M985" s="73"/>
      <c r="N985" s="73"/>
      <c r="O985" s="3" t="str">
        <f>IF(C985="","",IF(C985=5,IFERROR(INDEX(code_Note1!$F$13:$F$16,MATCH(E985,code_Note1!$E$13:$E$16,0)),INDEX(code_Note1!$F$16,1)),IF(B985&lt;code_Note1!$D$21,"No",IFERROR(VLOOKUP(C985,code_Note1!$D$3:$G$8,3,FALSE),""))))</f>
        <v>Yes</v>
      </c>
      <c r="P985" s="3" t="s">
        <v>832</v>
      </c>
    </row>
    <row r="986" spans="1:16" ht="19.5" customHeight="1">
      <c r="A986" s="2" t="s">
        <v>858</v>
      </c>
      <c r="B986" s="38">
        <v>46122</v>
      </c>
      <c r="C986" s="1">
        <v>3</v>
      </c>
      <c r="D986" s="1" t="s">
        <v>823</v>
      </c>
      <c r="E986" s="1" t="s">
        <v>12</v>
      </c>
      <c r="F986" s="8" t="s">
        <v>756</v>
      </c>
      <c r="G986" s="6">
        <v>124000</v>
      </c>
      <c r="H986" s="6"/>
      <c r="I986" s="6"/>
      <c r="J986" s="7"/>
      <c r="K986" s="73"/>
      <c r="L986" s="73"/>
      <c r="M986" s="73"/>
      <c r="N986" s="73"/>
      <c r="O986" s="3" t="str">
        <f>IF(C986="","",IF(C986=5,IFERROR(INDEX(code_Note1!$F$13:$F$16,MATCH(E986,code_Note1!$E$13:$E$16,0)),INDEX(code_Note1!$F$16,1)),IF(B986&lt;code_Note1!$D$21,"No",IFERROR(VLOOKUP(C986,code_Note1!$D$3:$G$8,3,FALSE),""))))</f>
        <v>yes</v>
      </c>
      <c r="P986" s="3" t="s">
        <v>832</v>
      </c>
    </row>
    <row r="987" spans="1:16" ht="19.5" customHeight="1">
      <c r="A987" s="2" t="s">
        <v>858</v>
      </c>
      <c r="B987" s="38">
        <v>46124</v>
      </c>
      <c r="C987" s="1">
        <v>1</v>
      </c>
      <c r="D987" s="1" t="s">
        <v>824</v>
      </c>
      <c r="E987" s="1" t="s">
        <v>62</v>
      </c>
      <c r="F987" s="8" t="s">
        <v>728</v>
      </c>
      <c r="G987" s="6">
        <v>3217950</v>
      </c>
      <c r="H987" s="6"/>
      <c r="I987" s="6"/>
      <c r="J987" s="7"/>
      <c r="K987" s="73"/>
      <c r="L987" s="73"/>
      <c r="M987" s="73"/>
      <c r="N987" s="73"/>
      <c r="O987" s="3" t="str">
        <f>IF(C987="","",IF(C987=5,IFERROR(INDEX(code_Note1!$F$13:$F$16,MATCH(E987,code_Note1!$E$13:$E$16,0)),INDEX(code_Note1!$F$16,1)),IF(B987&lt;code_Note1!$D$21,"No",IFERROR(VLOOKUP(C987,code_Note1!$D$3:$G$8,3,FALSE),""))))</f>
        <v>Yes</v>
      </c>
      <c r="P987" s="3" t="s">
        <v>832</v>
      </c>
    </row>
    <row r="988" spans="1:16" ht="19.5" customHeight="1">
      <c r="A988" s="2" t="s">
        <v>858</v>
      </c>
      <c r="B988" s="38">
        <v>46125</v>
      </c>
      <c r="C988" s="1">
        <v>1</v>
      </c>
      <c r="D988" s="1" t="s">
        <v>824</v>
      </c>
      <c r="E988" s="1" t="s">
        <v>293</v>
      </c>
      <c r="F988" s="8" t="s">
        <v>757</v>
      </c>
      <c r="G988" s="6">
        <v>1930000</v>
      </c>
      <c r="H988" s="6"/>
      <c r="I988" s="6"/>
      <c r="J988" s="7"/>
      <c r="K988" s="73"/>
      <c r="L988" s="73"/>
      <c r="M988" s="73"/>
      <c r="N988" s="73"/>
      <c r="O988" s="3" t="str">
        <f>IF(C988="","",IF(C988=5,IFERROR(INDEX(code_Note1!$F$13:$F$16,MATCH(E988,code_Note1!$E$13:$E$16,0)),INDEX(code_Note1!$F$16,1)),IF(B988&lt;code_Note1!$D$21,"No",IFERROR(VLOOKUP(C988,code_Note1!$D$3:$G$8,3,FALSE),""))))</f>
        <v>Yes</v>
      </c>
      <c r="P988" s="3" t="s">
        <v>832</v>
      </c>
    </row>
    <row r="989" spans="1:16" ht="19.5" customHeight="1">
      <c r="A989" s="2" t="s">
        <v>858</v>
      </c>
      <c r="B989" s="38">
        <v>46125</v>
      </c>
      <c r="C989" s="1">
        <v>1</v>
      </c>
      <c r="D989" s="1" t="s">
        <v>824</v>
      </c>
      <c r="E989" s="1" t="s">
        <v>103</v>
      </c>
      <c r="F989" s="9" t="s">
        <v>746</v>
      </c>
      <c r="G989" s="6">
        <v>1700000</v>
      </c>
      <c r="H989" s="6"/>
      <c r="I989" s="6"/>
      <c r="J989" s="7"/>
      <c r="K989" s="73"/>
      <c r="L989" s="73"/>
      <c r="M989" s="73"/>
      <c r="N989" s="73"/>
      <c r="O989" s="3" t="str">
        <f>IF(C989="","",IF(C989=5,IFERROR(INDEX(code_Note1!$F$13:$F$16,MATCH(E989,code_Note1!$E$13:$E$16,0)),INDEX(code_Note1!$F$16,1)),IF(B989&lt;code_Note1!$D$21,"No",IFERROR(VLOOKUP(C989,code_Note1!$D$3:$G$8,3,FALSE),""))))</f>
        <v>Yes</v>
      </c>
      <c r="P989" s="3" t="s">
        <v>832</v>
      </c>
    </row>
    <row r="990" spans="1:16" ht="19.5" customHeight="1">
      <c r="A990" s="2" t="s">
        <v>858</v>
      </c>
      <c r="B990" s="38">
        <v>46126</v>
      </c>
      <c r="C990" s="1">
        <v>3</v>
      </c>
      <c r="D990" s="1" t="s">
        <v>823</v>
      </c>
      <c r="E990" s="1" t="s">
        <v>12</v>
      </c>
      <c r="F990" s="8" t="s">
        <v>12</v>
      </c>
      <c r="G990" s="13">
        <v>1630000</v>
      </c>
      <c r="H990" s="6"/>
      <c r="I990" s="6"/>
      <c r="J990" s="7"/>
      <c r="K990" s="73"/>
      <c r="L990" s="73"/>
      <c r="M990" s="73"/>
      <c r="N990" s="73"/>
      <c r="O990" s="3" t="str">
        <f>IF(C990="","",IF(C990=5,IFERROR(INDEX(code_Note1!$F$13:$F$16,MATCH(E990,code_Note1!$E$13:$E$16,0)),INDEX(code_Note1!$F$16,1)),IF(B990&lt;code_Note1!$D$21,"No",IFERROR(VLOOKUP(C990,code_Note1!$D$3:$G$8,3,FALSE),""))))</f>
        <v>yes</v>
      </c>
      <c r="P990" s="3" t="s">
        <v>832</v>
      </c>
    </row>
    <row r="991" spans="1:16" ht="19.5" customHeight="1">
      <c r="A991" s="2" t="s">
        <v>858</v>
      </c>
      <c r="B991" s="38">
        <v>46126</v>
      </c>
      <c r="C991" s="1">
        <v>3</v>
      </c>
      <c r="D991" s="1" t="s">
        <v>823</v>
      </c>
      <c r="E991" s="1" t="s">
        <v>12</v>
      </c>
      <c r="F991" s="9" t="s">
        <v>12</v>
      </c>
      <c r="G991" s="15">
        <v>321000</v>
      </c>
      <c r="H991" s="6"/>
      <c r="I991" s="6"/>
      <c r="J991" s="7"/>
      <c r="K991" s="73"/>
      <c r="L991" s="73"/>
      <c r="M991" s="73"/>
      <c r="N991" s="73"/>
      <c r="O991" s="3" t="str">
        <f>IF(C991="","",IF(C991=5,IFERROR(INDEX(code_Note1!$F$13:$F$16,MATCH(E991,code_Note1!$E$13:$E$16,0)),INDEX(code_Note1!$F$16,1)),IF(B991&lt;code_Note1!$D$21,"No",IFERROR(VLOOKUP(C991,code_Note1!$D$3:$G$8,3,FALSE),""))))</f>
        <v>yes</v>
      </c>
      <c r="P991" s="3" t="s">
        <v>832</v>
      </c>
    </row>
    <row r="992" spans="1:16" ht="19.5" customHeight="1">
      <c r="A992" s="2" t="s">
        <v>858</v>
      </c>
      <c r="B992" s="38">
        <v>46126</v>
      </c>
      <c r="C992" s="1">
        <v>3</v>
      </c>
      <c r="D992" s="1" t="s">
        <v>823</v>
      </c>
      <c r="E992" s="28" t="s">
        <v>12</v>
      </c>
      <c r="F992" s="9" t="s">
        <v>12</v>
      </c>
      <c r="G992" s="15">
        <v>660000</v>
      </c>
      <c r="H992" s="6"/>
      <c r="I992" s="6"/>
      <c r="J992" s="7"/>
      <c r="K992" s="73"/>
      <c r="L992" s="73"/>
      <c r="M992" s="73"/>
      <c r="N992" s="73"/>
      <c r="O992" s="3" t="str">
        <f>IF(C992="","",IF(C992=5,IFERROR(INDEX(code_Note1!$F$13:$F$16,MATCH(E992,code_Note1!$E$13:$E$16,0)),INDEX(code_Note1!$F$16,1)),IF(B992&lt;code_Note1!$D$21,"No",IFERROR(VLOOKUP(C992,code_Note1!$D$3:$G$8,3,FALSE),""))))</f>
        <v>yes</v>
      </c>
      <c r="P992" s="3" t="s">
        <v>832</v>
      </c>
    </row>
    <row r="993" spans="1:16" ht="19.5" customHeight="1">
      <c r="A993" s="2" t="s">
        <v>858</v>
      </c>
      <c r="B993" s="38">
        <v>46126</v>
      </c>
      <c r="C993" s="1">
        <v>3</v>
      </c>
      <c r="D993" s="1" t="s">
        <v>823</v>
      </c>
      <c r="E993" s="28" t="s">
        <v>12</v>
      </c>
      <c r="F993" s="9" t="s">
        <v>12</v>
      </c>
      <c r="G993" s="15">
        <v>460000</v>
      </c>
      <c r="H993" s="6"/>
      <c r="I993" s="6"/>
      <c r="J993" s="7"/>
      <c r="K993" s="73"/>
      <c r="L993" s="73"/>
      <c r="M993" s="73"/>
      <c r="N993" s="73"/>
      <c r="O993" s="3" t="str">
        <f>IF(C993="","",IF(C993=5,IFERROR(INDEX(code_Note1!$F$13:$F$16,MATCH(E993,code_Note1!$E$13:$E$16,0)),INDEX(code_Note1!$F$16,1)),IF(B993&lt;code_Note1!$D$21,"No",IFERROR(VLOOKUP(C993,code_Note1!$D$3:$G$8,3,FALSE),""))))</f>
        <v>yes</v>
      </c>
      <c r="P993" s="3" t="s">
        <v>832</v>
      </c>
    </row>
    <row r="994" spans="1:16" ht="19.5" customHeight="1">
      <c r="A994" s="2" t="s">
        <v>858</v>
      </c>
      <c r="B994" s="38">
        <v>46129</v>
      </c>
      <c r="C994" s="1">
        <v>5</v>
      </c>
      <c r="D994" s="1" t="s">
        <v>657</v>
      </c>
      <c r="E994" s="28" t="s">
        <v>657</v>
      </c>
      <c r="F994" s="8" t="s">
        <v>758</v>
      </c>
      <c r="G994" s="6">
        <v>0</v>
      </c>
      <c r="H994" s="6"/>
      <c r="I994" s="6"/>
      <c r="J994" s="7"/>
      <c r="K994" s="73">
        <v>660000</v>
      </c>
      <c r="L994" s="73"/>
      <c r="M994" s="73"/>
      <c r="N994" s="73"/>
      <c r="O994" s="3" t="str">
        <f>IF(C994="","",IF(C994=5,IFERROR(INDEX(code_Note1!$F$13:$F$16,MATCH(E994,code_Note1!$E$13:$E$16,0)),INDEX(code_Note1!$F$16,1)),IF(B994&lt;code_Note1!$D$21,"No",IFERROR(VLOOKUP(C994,code_Note1!$D$3:$G$8,3,FALSE),""))))</f>
        <v>Yes</v>
      </c>
      <c r="P994" s="3" t="s">
        <v>831</v>
      </c>
    </row>
    <row r="995" spans="1:16" ht="19.5" customHeight="1">
      <c r="A995" s="2" t="s">
        <v>858</v>
      </c>
      <c r="B995" s="38">
        <v>46129</v>
      </c>
      <c r="C995" s="1">
        <v>3</v>
      </c>
      <c r="D995" s="1" t="s">
        <v>823</v>
      </c>
      <c r="E995" s="28" t="s">
        <v>12</v>
      </c>
      <c r="F995" s="12" t="s">
        <v>253</v>
      </c>
      <c r="G995" s="48">
        <v>775000</v>
      </c>
      <c r="H995" s="6"/>
      <c r="I995" s="6"/>
      <c r="J995" s="7"/>
      <c r="K995" s="73"/>
      <c r="L995" s="73"/>
      <c r="M995" s="73"/>
      <c r="N995" s="73"/>
      <c r="O995" s="3" t="str">
        <f>IF(C995="","",IF(C995=5,IFERROR(INDEX(code_Note1!$F$13:$F$16,MATCH(E995,code_Note1!$E$13:$E$16,0)),INDEX(code_Note1!$F$16,1)),IF(B995&lt;code_Note1!$D$21,"No",IFERROR(VLOOKUP(C995,code_Note1!$D$3:$G$8,3,FALSE),""))))</f>
        <v>yes</v>
      </c>
      <c r="P995" s="3" t="s">
        <v>832</v>
      </c>
    </row>
    <row r="996" spans="1:16" ht="19.5" customHeight="1">
      <c r="A996" s="2" t="s">
        <v>858</v>
      </c>
      <c r="B996" s="38">
        <v>46129</v>
      </c>
      <c r="C996" s="1">
        <v>1</v>
      </c>
      <c r="D996" s="1" t="s">
        <v>824</v>
      </c>
      <c r="E996" s="1" t="s">
        <v>760</v>
      </c>
      <c r="F996" s="8" t="s">
        <v>759</v>
      </c>
      <c r="G996" s="13">
        <v>30000</v>
      </c>
      <c r="H996" s="6"/>
      <c r="I996" s="6"/>
      <c r="J996" s="7"/>
      <c r="K996" s="73"/>
      <c r="L996" s="73"/>
      <c r="M996" s="73"/>
      <c r="N996" s="73"/>
      <c r="O996" s="3" t="str">
        <f>IF(C996="","",IF(C996=5,IFERROR(INDEX(code_Note1!$F$13:$F$16,MATCH(E996,code_Note1!$E$13:$E$16,0)),INDEX(code_Note1!$F$16,1)),IF(B996&lt;code_Note1!$D$21,"No",IFERROR(VLOOKUP(C996,code_Note1!$D$3:$G$8,3,FALSE),""))))</f>
        <v>Yes</v>
      </c>
      <c r="P996" s="3" t="s">
        <v>832</v>
      </c>
    </row>
    <row r="997" spans="1:16" ht="19.5" customHeight="1">
      <c r="A997" s="2" t="s">
        <v>858</v>
      </c>
      <c r="B997" s="38">
        <v>46130</v>
      </c>
      <c r="C997" s="1">
        <v>5</v>
      </c>
      <c r="D997" s="1" t="s">
        <v>657</v>
      </c>
      <c r="E997" s="28" t="s">
        <v>657</v>
      </c>
      <c r="F997" s="8" t="s">
        <v>761</v>
      </c>
      <c r="G997" s="6">
        <v>0</v>
      </c>
      <c r="H997" s="6"/>
      <c r="I997" s="6"/>
      <c r="J997" s="7"/>
      <c r="K997" s="73">
        <v>625000</v>
      </c>
      <c r="L997" s="73"/>
      <c r="M997" s="73"/>
      <c r="N997" s="73"/>
      <c r="O997" s="3" t="str">
        <f>IF(C997="","",IF(C997=5,IFERROR(INDEX(code_Note1!$F$13:$F$16,MATCH(E997,code_Note1!$E$13:$E$16,0)),INDEX(code_Note1!$F$16,1)),IF(B997&lt;code_Note1!$D$21,"No",IFERROR(VLOOKUP(C997,code_Note1!$D$3:$G$8,3,FALSE),""))))</f>
        <v>Yes</v>
      </c>
      <c r="P997" s="3" t="s">
        <v>831</v>
      </c>
    </row>
    <row r="998" spans="1:16" ht="19.5" customHeight="1">
      <c r="A998" s="2" t="s">
        <v>858</v>
      </c>
      <c r="B998" s="38">
        <v>46130</v>
      </c>
      <c r="C998" s="1">
        <v>5</v>
      </c>
      <c r="D998" s="1" t="s">
        <v>657</v>
      </c>
      <c r="E998" s="28" t="s">
        <v>657</v>
      </c>
      <c r="F998" s="8" t="s">
        <v>762</v>
      </c>
      <c r="G998" s="6">
        <v>0</v>
      </c>
      <c r="H998" s="6"/>
      <c r="I998" s="6"/>
      <c r="J998" s="7"/>
      <c r="K998" s="73">
        <v>500000</v>
      </c>
      <c r="L998" s="73"/>
      <c r="M998" s="73"/>
      <c r="N998" s="73"/>
      <c r="O998" s="3" t="str">
        <f>IF(C998="","",IF(C998=5,IFERROR(INDEX(code_Note1!$F$13:$F$16,MATCH(E998,code_Note1!$E$13:$E$16,0)),INDEX(code_Note1!$F$16,1)),IF(B998&lt;code_Note1!$D$21,"No",IFERROR(VLOOKUP(C998,code_Note1!$D$3:$G$8,3,FALSE),""))))</f>
        <v>Yes</v>
      </c>
      <c r="P998" s="3" t="s">
        <v>831</v>
      </c>
    </row>
    <row r="999" spans="1:16" ht="19.5" customHeight="1">
      <c r="A999" s="2" t="s">
        <v>858</v>
      </c>
      <c r="B999" s="38">
        <v>46133</v>
      </c>
      <c r="C999" s="1">
        <v>3</v>
      </c>
      <c r="D999" s="1" t="s">
        <v>823</v>
      </c>
      <c r="E999" s="1" t="s">
        <v>44</v>
      </c>
      <c r="F999" s="13" t="s">
        <v>763</v>
      </c>
      <c r="G999" s="6">
        <v>300000</v>
      </c>
      <c r="H999" s="6"/>
      <c r="I999" s="6"/>
      <c r="J999" s="7"/>
      <c r="K999" s="73"/>
      <c r="L999" s="73"/>
      <c r="M999" s="73"/>
      <c r="N999" s="73"/>
      <c r="O999" s="3" t="str">
        <f>IF(C999="","",IF(C999=5,IFERROR(INDEX(code_Note1!$F$13:$F$16,MATCH(E999,code_Note1!$E$13:$E$16,0)),INDEX(code_Note1!$F$16,1)),IF(B999&lt;code_Note1!$D$21,"No",IFERROR(VLOOKUP(C999,code_Note1!$D$3:$G$8,3,FALSE),""))))</f>
        <v>yes</v>
      </c>
      <c r="P999" s="3" t="s">
        <v>832</v>
      </c>
    </row>
    <row r="1000" spans="1:16" ht="19.5" customHeight="1">
      <c r="A1000" s="2" t="s">
        <v>858</v>
      </c>
      <c r="B1000" s="38">
        <v>46135</v>
      </c>
      <c r="C1000" s="1">
        <v>1</v>
      </c>
      <c r="D1000" s="1" t="s">
        <v>824</v>
      </c>
      <c r="E1000" s="1" t="s">
        <v>293</v>
      </c>
      <c r="F1000" s="13" t="s">
        <v>764</v>
      </c>
      <c r="G1000" s="6">
        <v>3315000</v>
      </c>
      <c r="H1000" s="6"/>
      <c r="I1000" s="6"/>
      <c r="J1000" s="7"/>
      <c r="K1000" s="73"/>
      <c r="L1000" s="73"/>
      <c r="M1000" s="73"/>
      <c r="N1000" s="73"/>
      <c r="O1000" s="3" t="str">
        <f>IF(C1000="","",IF(C1000=5,IFERROR(INDEX(code_Note1!$F$13:$F$16,MATCH(E1000,code_Note1!$E$13:$E$16,0)),INDEX(code_Note1!$F$16,1)),IF(B1000&lt;code_Note1!$D$21,"No",IFERROR(VLOOKUP(C1000,code_Note1!$D$3:$G$8,3,FALSE),""))))</f>
        <v>Yes</v>
      </c>
      <c r="P1000" s="3" t="s">
        <v>832</v>
      </c>
    </row>
    <row r="1001" spans="1:16" ht="19.5" customHeight="1">
      <c r="A1001" s="2" t="s">
        <v>858</v>
      </c>
      <c r="B1001" s="38">
        <v>46136</v>
      </c>
      <c r="C1001" s="1">
        <v>1</v>
      </c>
      <c r="D1001" s="1" t="s">
        <v>824</v>
      </c>
      <c r="E1001" s="1" t="s">
        <v>291</v>
      </c>
      <c r="F1001" s="8" t="s">
        <v>765</v>
      </c>
      <c r="G1001" s="6">
        <v>380000</v>
      </c>
      <c r="H1001" s="6"/>
      <c r="I1001" s="6"/>
      <c r="J1001" s="7"/>
      <c r="K1001" s="73"/>
      <c r="L1001" s="73"/>
      <c r="M1001" s="73"/>
      <c r="N1001" s="73"/>
      <c r="O1001" s="3" t="str">
        <f>IF(C1001="","",IF(C1001=5,IFERROR(INDEX(code_Note1!$F$13:$F$16,MATCH(E1001,code_Note1!$E$13:$E$16,0)),INDEX(code_Note1!$F$16,1)),IF(B1001&lt;code_Note1!$D$21,"No",IFERROR(VLOOKUP(C1001,code_Note1!$D$3:$G$8,3,FALSE),""))))</f>
        <v>Yes</v>
      </c>
      <c r="P1001" s="3" t="s">
        <v>832</v>
      </c>
    </row>
    <row r="1002" spans="1:16" ht="19.5" customHeight="1">
      <c r="A1002" s="2" t="s">
        <v>858</v>
      </c>
      <c r="B1002" s="38">
        <v>46136</v>
      </c>
      <c r="C1002" s="1">
        <v>1</v>
      </c>
      <c r="D1002" s="1" t="s">
        <v>824</v>
      </c>
      <c r="E1002" s="1" t="s">
        <v>103</v>
      </c>
      <c r="F1002" s="8" t="s">
        <v>102</v>
      </c>
      <c r="G1002" s="6">
        <v>1000000</v>
      </c>
      <c r="H1002" s="6"/>
      <c r="I1002" s="6"/>
      <c r="J1002" s="7"/>
      <c r="K1002" s="73"/>
      <c r="L1002" s="73"/>
      <c r="M1002" s="73"/>
      <c r="N1002" s="73"/>
      <c r="O1002" s="3" t="str">
        <f>IF(C1002="","",IF(C1002=5,IFERROR(INDEX(code_Note1!$F$13:$F$16,MATCH(E1002,code_Note1!$E$13:$E$16,0)),INDEX(code_Note1!$F$16,1)),IF(B1002&lt;code_Note1!$D$21,"No",IFERROR(VLOOKUP(C1002,code_Note1!$D$3:$G$8,3,FALSE),""))))</f>
        <v>Yes</v>
      </c>
      <c r="P1002" s="3" t="s">
        <v>832</v>
      </c>
    </row>
    <row r="1003" spans="1:16" ht="19.5" customHeight="1">
      <c r="A1003" s="2" t="s">
        <v>858</v>
      </c>
      <c r="B1003" s="83">
        <v>46137</v>
      </c>
      <c r="C1003" s="62">
        <v>5</v>
      </c>
      <c r="D1003" s="62" t="s">
        <v>657</v>
      </c>
      <c r="E1003" s="62" t="s">
        <v>657</v>
      </c>
      <c r="F1003" s="63" t="s">
        <v>766</v>
      </c>
      <c r="G1003" s="64">
        <v>0</v>
      </c>
      <c r="H1003" s="64"/>
      <c r="I1003" s="64"/>
      <c r="J1003" s="84"/>
      <c r="K1003" s="84">
        <v>0</v>
      </c>
      <c r="L1003" s="84"/>
      <c r="M1003" s="84"/>
      <c r="N1003" s="84"/>
      <c r="O1003" s="3" t="str">
        <f>IF(C1003="","",IF(C1003=5,IFERROR(INDEX(code_Note1!$F$13:$F$16,MATCH(E1003,code_Note1!$E$13:$E$16,0)),INDEX(code_Note1!$F$16,1)),IF(B1003&lt;code_Note1!$D$21,"No",IFERROR(VLOOKUP(C1003,code_Note1!$D$3:$G$8,3,FALSE),""))))</f>
        <v>Yes</v>
      </c>
      <c r="P1003" s="65" t="s">
        <v>831</v>
      </c>
    </row>
    <row r="1004" spans="1:16" ht="19.5" customHeight="1">
      <c r="A1004" s="2" t="s">
        <v>858</v>
      </c>
      <c r="B1004" s="38">
        <v>46137</v>
      </c>
      <c r="C1004" s="1">
        <v>3</v>
      </c>
      <c r="D1004" s="1" t="s">
        <v>823</v>
      </c>
      <c r="E1004" s="28" t="s">
        <v>12</v>
      </c>
      <c r="F1004" s="8" t="s">
        <v>118</v>
      </c>
      <c r="G1004" s="6">
        <v>225000</v>
      </c>
      <c r="H1004" s="6"/>
      <c r="I1004" s="6"/>
      <c r="J1004" s="7"/>
      <c r="K1004" s="73"/>
      <c r="L1004" s="73"/>
      <c r="M1004" s="73"/>
      <c r="N1004" s="73"/>
      <c r="O1004" s="3" t="str">
        <f>IF(C1004="","",IF(C1004=5,IFERROR(INDEX(code_Note1!$F$13:$F$16,MATCH(E1004,code_Note1!$E$13:$E$16,0)),INDEX(code_Note1!$F$16,1)),IF(B1004&lt;code_Note1!$D$21,"No",IFERROR(VLOOKUP(C1004,code_Note1!$D$3:$G$8,3,FALSE),""))))</f>
        <v>yes</v>
      </c>
      <c r="P1004" s="3" t="s">
        <v>832</v>
      </c>
    </row>
    <row r="1005" spans="1:16" ht="19.5" customHeight="1">
      <c r="A1005" s="2" t="s">
        <v>858</v>
      </c>
      <c r="B1005" s="38">
        <v>46138</v>
      </c>
      <c r="C1005" s="1">
        <v>1</v>
      </c>
      <c r="D1005" s="1" t="s">
        <v>824</v>
      </c>
      <c r="E1005" s="28" t="s">
        <v>62</v>
      </c>
      <c r="F1005" s="14" t="s">
        <v>728</v>
      </c>
      <c r="G1005" s="15">
        <v>3214500</v>
      </c>
      <c r="H1005" s="6"/>
      <c r="I1005" s="6"/>
      <c r="J1005" s="7"/>
      <c r="K1005" s="73"/>
      <c r="L1005" s="73"/>
      <c r="M1005" s="73"/>
      <c r="N1005" s="73"/>
      <c r="O1005" s="3" t="str">
        <f>IF(C1005="","",IF(C1005=5,IFERROR(INDEX(code_Note1!$F$13:$F$16,MATCH(E1005,code_Note1!$E$13:$E$16,0)),INDEX(code_Note1!$F$16,1)),IF(B1005&lt;code_Note1!$D$21,"No",IFERROR(VLOOKUP(C1005,code_Note1!$D$3:$G$8,3,FALSE),""))))</f>
        <v>Yes</v>
      </c>
      <c r="P1005" s="3" t="s">
        <v>832</v>
      </c>
    </row>
    <row r="1006" spans="1:16" ht="19.5" customHeight="1">
      <c r="A1006" s="2" t="s">
        <v>858</v>
      </c>
      <c r="B1006" s="38">
        <v>46138</v>
      </c>
      <c r="C1006" s="1">
        <v>3</v>
      </c>
      <c r="D1006" s="1" t="s">
        <v>823</v>
      </c>
      <c r="E1006" s="28" t="s">
        <v>12</v>
      </c>
      <c r="F1006" s="8" t="s">
        <v>767</v>
      </c>
      <c r="G1006" s="6">
        <v>185000</v>
      </c>
      <c r="H1006" s="6"/>
      <c r="I1006" s="6"/>
      <c r="J1006" s="7"/>
      <c r="K1006" s="73"/>
      <c r="L1006" s="73"/>
      <c r="M1006" s="73"/>
      <c r="N1006" s="73"/>
      <c r="O1006" s="3" t="str">
        <f>IF(C1006="","",IF(C1006=5,IFERROR(INDEX(code_Note1!$F$13:$F$16,MATCH(E1006,code_Note1!$E$13:$E$16,0)),INDEX(code_Note1!$F$16,1)),IF(B1006&lt;code_Note1!$D$21,"No",IFERROR(VLOOKUP(C1006,code_Note1!$D$3:$G$8,3,FALSE),""))))</f>
        <v>yes</v>
      </c>
      <c r="P1006" s="3" t="s">
        <v>832</v>
      </c>
    </row>
    <row r="1007" spans="1:16" ht="19.5" customHeight="1">
      <c r="A1007" s="2" t="s">
        <v>858</v>
      </c>
      <c r="B1007" s="38">
        <v>46139</v>
      </c>
      <c r="C1007" s="1">
        <v>3</v>
      </c>
      <c r="D1007" s="1" t="s">
        <v>823</v>
      </c>
      <c r="E1007" s="1" t="s">
        <v>44</v>
      </c>
      <c r="F1007" s="13" t="s">
        <v>415</v>
      </c>
      <c r="G1007" s="6">
        <v>150000</v>
      </c>
      <c r="H1007" s="6"/>
      <c r="I1007" s="6"/>
      <c r="J1007" s="7"/>
      <c r="K1007" s="73"/>
      <c r="L1007" s="73"/>
      <c r="M1007" s="73"/>
      <c r="N1007" s="73"/>
      <c r="O1007" s="3" t="str">
        <f>IF(C1007="","",IF(C1007=5,IFERROR(INDEX(code_Note1!$F$13:$F$16,MATCH(E1007,code_Note1!$E$13:$E$16,0)),INDEX(code_Note1!$F$16,1)),IF(B1007&lt;code_Note1!$D$21,"No",IFERROR(VLOOKUP(C1007,code_Note1!$D$3:$G$8,3,FALSE),""))))</f>
        <v>yes</v>
      </c>
      <c r="P1007" s="3" t="s">
        <v>832</v>
      </c>
    </row>
    <row r="1008" spans="1:16" ht="19.5" customHeight="1">
      <c r="A1008" s="2" t="s">
        <v>858</v>
      </c>
      <c r="B1008" s="38">
        <v>46140</v>
      </c>
      <c r="C1008" s="1">
        <v>1</v>
      </c>
      <c r="D1008" s="1" t="s">
        <v>824</v>
      </c>
      <c r="E1008" s="37" t="s">
        <v>293</v>
      </c>
      <c r="F1008" s="8" t="s">
        <v>768</v>
      </c>
      <c r="G1008" s="6">
        <v>1280000</v>
      </c>
      <c r="H1008" s="6"/>
      <c r="I1008" s="6"/>
      <c r="J1008" s="7"/>
      <c r="K1008" s="73"/>
      <c r="L1008" s="73"/>
      <c r="M1008" s="73"/>
      <c r="N1008" s="73"/>
      <c r="O1008" s="3" t="str">
        <f>IF(C1008="","",IF(C1008=5,IFERROR(INDEX(code_Note1!$F$13:$F$16,MATCH(E1008,code_Note1!$E$13:$E$16,0)),INDEX(code_Note1!$F$16,1)),IF(B1008&lt;code_Note1!$D$21,"No",IFERROR(VLOOKUP(C1008,code_Note1!$D$3:$G$8,3,FALSE),""))))</f>
        <v>Yes</v>
      </c>
      <c r="P1008" s="3" t="s">
        <v>832</v>
      </c>
    </row>
    <row r="1009" spans="1:16" ht="19.5" customHeight="1">
      <c r="A1009" s="2" t="s">
        <v>858</v>
      </c>
      <c r="B1009" s="38">
        <v>46141</v>
      </c>
      <c r="C1009" s="1">
        <v>1</v>
      </c>
      <c r="D1009" s="1" t="s">
        <v>824</v>
      </c>
      <c r="E1009" s="37" t="s">
        <v>103</v>
      </c>
      <c r="F1009" s="8" t="s">
        <v>102</v>
      </c>
      <c r="G1009" s="6">
        <v>1700000</v>
      </c>
      <c r="H1009" s="6"/>
      <c r="I1009" s="6"/>
      <c r="J1009" s="7"/>
      <c r="K1009" s="73"/>
      <c r="L1009" s="73"/>
      <c r="M1009" s="73"/>
      <c r="N1009" s="73"/>
      <c r="O1009" s="3" t="str">
        <f>IF(C1009="","",IF(C1009=5,IFERROR(INDEX(code_Note1!$F$13:$F$16,MATCH(E1009,code_Note1!$E$13:$E$16,0)),INDEX(code_Note1!$F$16,1)),IF(B1009&lt;code_Note1!$D$21,"No",IFERROR(VLOOKUP(C1009,code_Note1!$D$3:$G$8,3,FALSE),""))))</f>
        <v>Yes</v>
      </c>
      <c r="P1009" s="3" t="s">
        <v>832</v>
      </c>
    </row>
    <row r="1010" spans="1:16" ht="19.5" customHeight="1">
      <c r="A1010" s="2" t="s">
        <v>858</v>
      </c>
      <c r="B1010" s="38">
        <v>46142</v>
      </c>
      <c r="C1010" s="1">
        <v>1</v>
      </c>
      <c r="D1010" s="1" t="s">
        <v>824</v>
      </c>
      <c r="E1010" s="28" t="s">
        <v>62</v>
      </c>
      <c r="F1010" s="12" t="s">
        <v>728</v>
      </c>
      <c r="G1010" s="13">
        <v>3212000</v>
      </c>
      <c r="H1010" s="6"/>
      <c r="I1010" s="6"/>
      <c r="J1010" s="7"/>
      <c r="K1010" s="73"/>
      <c r="L1010" s="73"/>
      <c r="M1010" s="73"/>
      <c r="N1010" s="73"/>
      <c r="O1010" s="3" t="str">
        <f>IF(C1010="","",IF(C1010=5,IFERROR(INDEX(code_Note1!$F$13:$F$16,MATCH(E1010,code_Note1!$E$13:$E$16,0)),INDEX(code_Note1!$F$16,1)),IF(B1010&lt;code_Note1!$D$21,"No",IFERROR(VLOOKUP(C1010,code_Note1!$D$3:$G$8,3,FALSE),""))))</f>
        <v>Yes</v>
      </c>
      <c r="P1010" s="3" t="s">
        <v>832</v>
      </c>
    </row>
    <row r="1011" spans="1:16" ht="19.5" customHeight="1">
      <c r="A1011" s="2" t="s">
        <v>858</v>
      </c>
      <c r="B1011" s="38">
        <v>46143</v>
      </c>
      <c r="C1011" s="1">
        <v>1</v>
      </c>
      <c r="D1011" s="1" t="s">
        <v>824</v>
      </c>
      <c r="E1011" s="28" t="s">
        <v>285</v>
      </c>
      <c r="F1011" s="13" t="s">
        <v>284</v>
      </c>
      <c r="G1011" s="6">
        <v>2158307</v>
      </c>
      <c r="H1011" s="6"/>
      <c r="I1011" s="6"/>
      <c r="J1011" s="7"/>
      <c r="K1011" s="73"/>
      <c r="L1011" s="73"/>
      <c r="M1011" s="73"/>
      <c r="N1011" s="73"/>
      <c r="O1011" s="3" t="str">
        <f>IF(C1011="","",IF(C1011=5,IFERROR(INDEX(code_Note1!$F$13:$F$16,MATCH(E1011,code_Note1!$E$13:$E$16,0)),INDEX(code_Note1!$F$16,1)),IF(B1011&lt;code_Note1!$D$21,"No",IFERROR(VLOOKUP(C1011,code_Note1!$D$3:$G$8,3,FALSE),""))))</f>
        <v>Yes</v>
      </c>
      <c r="P1011" s="3" t="s">
        <v>832</v>
      </c>
    </row>
    <row r="1012" spans="1:16" ht="19.5" customHeight="1">
      <c r="A1012" s="2" t="s">
        <v>858</v>
      </c>
      <c r="B1012" s="38">
        <v>46143</v>
      </c>
      <c r="C1012" s="1">
        <v>1</v>
      </c>
      <c r="D1012" s="1" t="s">
        <v>824</v>
      </c>
      <c r="E1012" s="28" t="s">
        <v>285</v>
      </c>
      <c r="F1012" s="13" t="s">
        <v>284</v>
      </c>
      <c r="G1012" s="6">
        <v>8119576</v>
      </c>
      <c r="H1012" s="6"/>
      <c r="I1012" s="6"/>
      <c r="J1012" s="7"/>
      <c r="K1012" s="73"/>
      <c r="L1012" s="73"/>
      <c r="M1012" s="73"/>
      <c r="N1012" s="73"/>
      <c r="O1012" s="3" t="str">
        <f>IF(C1012="","",IF(C1012=5,IFERROR(INDEX(code_Note1!$F$13:$F$16,MATCH(E1012,code_Note1!$E$13:$E$16,0)),INDEX(code_Note1!$F$16,1)),IF(B1012&lt;code_Note1!$D$21,"No",IFERROR(VLOOKUP(C1012,code_Note1!$D$3:$G$8,3,FALSE),""))))</f>
        <v>Yes</v>
      </c>
      <c r="P1012" s="3" t="s">
        <v>832</v>
      </c>
    </row>
    <row r="1013" spans="1:16" ht="19.5" customHeight="1">
      <c r="A1013" s="2" t="s">
        <v>858</v>
      </c>
      <c r="B1013" s="38">
        <v>46143</v>
      </c>
      <c r="C1013" s="1">
        <v>1</v>
      </c>
      <c r="D1013" s="1" t="s">
        <v>824</v>
      </c>
      <c r="E1013" s="28" t="s">
        <v>285</v>
      </c>
      <c r="F1013" s="13" t="s">
        <v>284</v>
      </c>
      <c r="G1013" s="6">
        <v>10872423</v>
      </c>
      <c r="H1013" s="6"/>
      <c r="I1013" s="6"/>
      <c r="J1013" s="7"/>
      <c r="K1013" s="73"/>
      <c r="L1013" s="73"/>
      <c r="M1013" s="73"/>
      <c r="N1013" s="73"/>
      <c r="O1013" s="3" t="str">
        <f>IF(C1013="","",IF(C1013=5,IFERROR(INDEX(code_Note1!$F$13:$F$16,MATCH(E1013,code_Note1!$E$13:$E$16,0)),INDEX(code_Note1!$F$16,1)),IF(B1013&lt;code_Note1!$D$21,"No",IFERROR(VLOOKUP(C1013,code_Note1!$D$3:$G$8,3,FALSE),""))))</f>
        <v>Yes</v>
      </c>
      <c r="P1013" s="3" t="s">
        <v>832</v>
      </c>
    </row>
    <row r="1014" spans="1:16" ht="19.5" customHeight="1">
      <c r="A1014" s="2" t="s">
        <v>858</v>
      </c>
      <c r="B1014" s="38">
        <v>46143</v>
      </c>
      <c r="C1014" s="1">
        <v>3</v>
      </c>
      <c r="D1014" s="1" t="s">
        <v>823</v>
      </c>
      <c r="E1014" s="1" t="s">
        <v>521</v>
      </c>
      <c r="F1014" s="8" t="s">
        <v>521</v>
      </c>
      <c r="G1014" s="6">
        <v>4500000</v>
      </c>
      <c r="H1014" s="6"/>
      <c r="I1014" s="6"/>
      <c r="J1014" s="7"/>
      <c r="K1014" s="73"/>
      <c r="L1014" s="73"/>
      <c r="M1014" s="73"/>
      <c r="N1014" s="73"/>
      <c r="O1014" s="3" t="str">
        <f>IF(C1014="","",IF(C1014=5,IFERROR(INDEX(code_Note1!$F$13:$F$16,MATCH(E1014,code_Note1!$E$13:$E$16,0)),INDEX(code_Note1!$F$16,1)),IF(B1014&lt;code_Note1!$D$21,"No",IFERROR(VLOOKUP(C1014,code_Note1!$D$3:$G$8,3,FALSE),""))))</f>
        <v>yes</v>
      </c>
      <c r="P1014" s="3" t="s">
        <v>832</v>
      </c>
    </row>
    <row r="1015" spans="1:16" ht="19.5" customHeight="1">
      <c r="A1015" s="2" t="s">
        <v>858</v>
      </c>
      <c r="B1015" s="38">
        <v>46143</v>
      </c>
      <c r="C1015" s="1">
        <v>3</v>
      </c>
      <c r="D1015" s="1" t="s">
        <v>823</v>
      </c>
      <c r="E1015" s="28" t="s">
        <v>38</v>
      </c>
      <c r="F1015" s="8" t="s">
        <v>769</v>
      </c>
      <c r="G1015" s="13">
        <v>140000</v>
      </c>
      <c r="H1015" s="6"/>
      <c r="I1015" s="6"/>
      <c r="J1015" s="7"/>
      <c r="K1015" s="73"/>
      <c r="L1015" s="73"/>
      <c r="M1015" s="73"/>
      <c r="N1015" s="73"/>
      <c r="O1015" s="3" t="str">
        <f>IF(C1015="","",IF(C1015=5,IFERROR(INDEX(code_Note1!$F$13:$F$16,MATCH(E1015,code_Note1!$E$13:$E$16,0)),INDEX(code_Note1!$F$16,1)),IF(B1015&lt;code_Note1!$D$21,"No",IFERROR(VLOOKUP(C1015,code_Note1!$D$3:$G$8,3,FALSE),""))))</f>
        <v>yes</v>
      </c>
      <c r="P1015" s="3" t="s">
        <v>832</v>
      </c>
    </row>
    <row r="1016" spans="1:16" ht="19.5" customHeight="1">
      <c r="A1016" s="2" t="s">
        <v>858</v>
      </c>
      <c r="B1016" s="38">
        <v>46145</v>
      </c>
      <c r="C1016" s="1">
        <v>1</v>
      </c>
      <c r="D1016" s="1" t="s">
        <v>824</v>
      </c>
      <c r="E1016" s="28" t="s">
        <v>62</v>
      </c>
      <c r="F1016" s="15" t="s">
        <v>770</v>
      </c>
      <c r="G1016" s="15">
        <v>2908600</v>
      </c>
      <c r="H1016" s="6"/>
      <c r="I1016" s="6"/>
      <c r="J1016" s="7"/>
      <c r="K1016" s="73"/>
      <c r="L1016" s="73"/>
      <c r="M1016" s="73"/>
      <c r="N1016" s="73"/>
      <c r="O1016" s="3" t="str">
        <f>IF(C1016="","",IF(C1016=5,IFERROR(INDEX(code_Note1!$F$13:$F$16,MATCH(E1016,code_Note1!$E$13:$E$16,0)),INDEX(code_Note1!$F$16,1)),IF(B1016&lt;code_Note1!$D$21,"No",IFERROR(VLOOKUP(C1016,code_Note1!$D$3:$G$8,3,FALSE),""))))</f>
        <v>Yes</v>
      </c>
      <c r="P1016" s="3" t="s">
        <v>832</v>
      </c>
    </row>
    <row r="1017" spans="1:16" ht="19.5" customHeight="1">
      <c r="A1017" s="2" t="s">
        <v>858</v>
      </c>
      <c r="B1017" s="38">
        <v>46145</v>
      </c>
      <c r="C1017" s="1">
        <v>5</v>
      </c>
      <c r="D1017" s="1" t="s">
        <v>657</v>
      </c>
      <c r="E1017" s="28" t="s">
        <v>657</v>
      </c>
      <c r="F1017" s="8" t="s">
        <v>771</v>
      </c>
      <c r="G1017" s="6">
        <v>0</v>
      </c>
      <c r="H1017" s="6"/>
      <c r="I1017" s="6"/>
      <c r="J1017" s="7"/>
      <c r="K1017" s="73">
        <v>120000</v>
      </c>
      <c r="L1017" s="73"/>
      <c r="M1017" s="73"/>
      <c r="N1017" s="73"/>
      <c r="O1017" s="3" t="str">
        <f>IF(C1017="","",IF(C1017=5,IFERROR(INDEX(code_Note1!$F$13:$F$16,MATCH(E1017,code_Note1!$E$13:$E$16,0)),INDEX(code_Note1!$F$16,1)),IF(B1017&lt;code_Note1!$D$21,"No",IFERROR(VLOOKUP(C1017,code_Note1!$D$3:$G$8,3,FALSE),""))))</f>
        <v>Yes</v>
      </c>
      <c r="P1017" s="3" t="s">
        <v>831</v>
      </c>
    </row>
    <row r="1018" spans="1:16" ht="19.5" customHeight="1">
      <c r="A1018" s="2" t="s">
        <v>858</v>
      </c>
      <c r="B1018" s="38">
        <v>46145</v>
      </c>
      <c r="C1018" s="1">
        <v>1</v>
      </c>
      <c r="D1018" s="1" t="s">
        <v>824</v>
      </c>
      <c r="E1018" s="28" t="s">
        <v>760</v>
      </c>
      <c r="F1018" s="8" t="s">
        <v>759</v>
      </c>
      <c r="G1018" s="13">
        <v>109000</v>
      </c>
      <c r="H1018" s="6"/>
      <c r="I1018" s="6"/>
      <c r="J1018" s="7"/>
      <c r="K1018" s="73"/>
      <c r="L1018" s="73"/>
      <c r="M1018" s="73"/>
      <c r="N1018" s="73"/>
      <c r="O1018" s="3" t="str">
        <f>IF(C1018="","",IF(C1018=5,IFERROR(INDEX(code_Note1!$F$13:$F$16,MATCH(E1018,code_Note1!$E$13:$E$16,0)),INDEX(code_Note1!$F$16,1)),IF(B1018&lt;code_Note1!$D$21,"No",IFERROR(VLOOKUP(C1018,code_Note1!$D$3:$G$8,3,FALSE),""))))</f>
        <v>Yes</v>
      </c>
      <c r="P1018" s="3" t="s">
        <v>832</v>
      </c>
    </row>
    <row r="1019" spans="1:16" ht="19.5" customHeight="1">
      <c r="A1019" s="2" t="s">
        <v>858</v>
      </c>
      <c r="B1019" s="38">
        <v>46147</v>
      </c>
      <c r="C1019" s="1">
        <v>3</v>
      </c>
      <c r="D1019" s="1" t="s">
        <v>823</v>
      </c>
      <c r="E1019" s="1" t="s">
        <v>44</v>
      </c>
      <c r="F1019" s="13" t="s">
        <v>772</v>
      </c>
      <c r="G1019" s="6">
        <v>210000</v>
      </c>
      <c r="H1019" s="6"/>
      <c r="I1019" s="6"/>
      <c r="J1019" s="7"/>
      <c r="K1019" s="73"/>
      <c r="L1019" s="73"/>
      <c r="M1019" s="73"/>
      <c r="N1019" s="73"/>
      <c r="O1019" s="3" t="str">
        <f>IF(C1019="","",IF(C1019=5,IFERROR(INDEX(code_Note1!$F$13:$F$16,MATCH(E1019,code_Note1!$E$13:$E$16,0)),INDEX(code_Note1!$F$16,1)),IF(B1019&lt;code_Note1!$D$21,"No",IFERROR(VLOOKUP(C1019,code_Note1!$D$3:$G$8,3,FALSE),""))))</f>
        <v>yes</v>
      </c>
      <c r="P1019" s="3" t="s">
        <v>832</v>
      </c>
    </row>
    <row r="1020" spans="1:16" ht="19.5" customHeight="1">
      <c r="A1020" s="2" t="s">
        <v>854</v>
      </c>
      <c r="B1020" s="38">
        <v>46148</v>
      </c>
      <c r="C1020" s="1">
        <v>2</v>
      </c>
      <c r="D1020" s="1" t="s">
        <v>838</v>
      </c>
      <c r="E1020" s="1" t="s">
        <v>355</v>
      </c>
      <c r="F1020" s="8" t="s">
        <v>102</v>
      </c>
      <c r="G1020" s="6">
        <v>965000</v>
      </c>
      <c r="H1020" s="6"/>
      <c r="I1020" s="6"/>
      <c r="J1020" s="7"/>
      <c r="K1020" s="73"/>
      <c r="L1020" s="73"/>
      <c r="M1020" s="73"/>
      <c r="N1020" s="73"/>
      <c r="O1020" s="3" t="str">
        <f>IF(C1020="","",IF(C1020=5,IFERROR(INDEX(code_Note1!$F$13:$F$16,MATCH(E1020,code_Note1!$E$13:$E$16,0)),INDEX(code_Note1!$F$16,1)),IF(B1020&lt;code_Note1!$D$21,"No",IFERROR(VLOOKUP(C1020,code_Note1!$D$3:$G$8,3,FALSE),""))))</f>
        <v>No</v>
      </c>
      <c r="P1020" s="3" t="s">
        <v>831</v>
      </c>
    </row>
    <row r="1021" spans="1:16" ht="19.5" customHeight="1">
      <c r="A1021" s="2" t="s">
        <v>858</v>
      </c>
      <c r="B1021" s="38">
        <v>46150</v>
      </c>
      <c r="C1021" s="1">
        <v>1</v>
      </c>
      <c r="D1021" s="1" t="s">
        <v>824</v>
      </c>
      <c r="E1021" s="28" t="s">
        <v>62</v>
      </c>
      <c r="F1021" s="8" t="s">
        <v>728</v>
      </c>
      <c r="G1021" s="13">
        <v>4359750</v>
      </c>
      <c r="H1021" s="6"/>
      <c r="I1021" s="6"/>
      <c r="J1021" s="7"/>
      <c r="K1021" s="73"/>
      <c r="L1021" s="73"/>
      <c r="M1021" s="73"/>
      <c r="N1021" s="73"/>
      <c r="O1021" s="3" t="str">
        <f>IF(C1021="","",IF(C1021=5,IFERROR(INDEX(code_Note1!$F$13:$F$16,MATCH(E1021,code_Note1!$E$13:$E$16,0)),INDEX(code_Note1!$F$16,1)),IF(B1021&lt;code_Note1!$D$21,"No",IFERROR(VLOOKUP(C1021,code_Note1!$D$3:$G$8,3,FALSE),""))))</f>
        <v>Yes</v>
      </c>
      <c r="P1021" s="3" t="s">
        <v>832</v>
      </c>
    </row>
    <row r="1022" spans="1:16" ht="19.5" customHeight="1">
      <c r="A1022" s="2" t="s">
        <v>858</v>
      </c>
      <c r="B1022" s="38">
        <v>46152</v>
      </c>
      <c r="C1022" s="1">
        <v>1</v>
      </c>
      <c r="D1022" s="1" t="s">
        <v>824</v>
      </c>
      <c r="E1022" s="28" t="s">
        <v>760</v>
      </c>
      <c r="F1022" s="8" t="s">
        <v>759</v>
      </c>
      <c r="G1022" s="13">
        <v>100000</v>
      </c>
      <c r="H1022" s="6"/>
      <c r="I1022" s="6"/>
      <c r="J1022" s="7"/>
      <c r="K1022" s="73"/>
      <c r="L1022" s="73"/>
      <c r="M1022" s="73"/>
      <c r="N1022" s="73"/>
      <c r="O1022" s="3" t="str">
        <f>IF(C1022="","",IF(C1022=5,IFERROR(INDEX(code_Note1!$F$13:$F$16,MATCH(E1022,code_Note1!$E$13:$E$16,0)),INDEX(code_Note1!$F$16,1)),IF(B1022&lt;code_Note1!$D$21,"No",IFERROR(VLOOKUP(C1022,code_Note1!$D$3:$G$8,3,FALSE),""))))</f>
        <v>Yes</v>
      </c>
      <c r="P1022" s="3" t="s">
        <v>832</v>
      </c>
    </row>
    <row r="1023" spans="1:16" ht="19.5" customHeight="1">
      <c r="A1023" s="2" t="s">
        <v>858</v>
      </c>
      <c r="B1023" s="38">
        <v>46152</v>
      </c>
      <c r="C1023" s="1">
        <v>5</v>
      </c>
      <c r="D1023" s="1" t="s">
        <v>657</v>
      </c>
      <c r="E1023" s="28" t="s">
        <v>657</v>
      </c>
      <c r="F1023" s="8" t="s">
        <v>773</v>
      </c>
      <c r="G1023" s="6">
        <v>0</v>
      </c>
      <c r="H1023" s="6"/>
      <c r="I1023" s="6"/>
      <c r="J1023" s="7"/>
      <c r="K1023" s="73">
        <v>2200000</v>
      </c>
      <c r="L1023" s="73"/>
      <c r="M1023" s="73"/>
      <c r="N1023" s="73"/>
      <c r="O1023" s="3" t="str">
        <f>IF(C1023="","",IF(C1023=5,IFERROR(INDEX(code_Note1!$F$13:$F$16,MATCH(E1023,code_Note1!$E$13:$E$16,0)),INDEX(code_Note1!$F$16,1)),IF(B1023&lt;code_Note1!$D$21,"No",IFERROR(VLOOKUP(C1023,code_Note1!$D$3:$G$8,3,FALSE),""))))</f>
        <v>Yes</v>
      </c>
      <c r="P1023" s="3" t="s">
        <v>831</v>
      </c>
    </row>
    <row r="1024" spans="1:16" ht="19.5" customHeight="1">
      <c r="A1024" s="2" t="s">
        <v>858</v>
      </c>
      <c r="B1024" s="38">
        <v>46153</v>
      </c>
      <c r="C1024" s="1">
        <v>3</v>
      </c>
      <c r="D1024" s="1" t="s">
        <v>823</v>
      </c>
      <c r="E1024" s="1" t="s">
        <v>44</v>
      </c>
      <c r="F1024" s="8" t="s">
        <v>774</v>
      </c>
      <c r="G1024" s="49">
        <v>195000</v>
      </c>
      <c r="H1024" s="6"/>
      <c r="I1024" s="6"/>
      <c r="J1024" s="7"/>
      <c r="K1024" s="73"/>
      <c r="L1024" s="73"/>
      <c r="M1024" s="73"/>
      <c r="N1024" s="73"/>
      <c r="O1024" s="3" t="str">
        <f>IF(C1024="","",IF(C1024=5,IFERROR(INDEX(code_Note1!$F$13:$F$16,MATCH(E1024,code_Note1!$E$13:$E$16,0)),INDEX(code_Note1!$F$16,1)),IF(B1024&lt;code_Note1!$D$21,"No",IFERROR(VLOOKUP(C1024,code_Note1!$D$3:$G$8,3,FALSE),""))))</f>
        <v>yes</v>
      </c>
      <c r="P1024" s="3" t="s">
        <v>832</v>
      </c>
    </row>
    <row r="1025" spans="1:16" ht="19.5" customHeight="1">
      <c r="A1025" s="2" t="s">
        <v>858</v>
      </c>
      <c r="B1025" s="38">
        <v>46153</v>
      </c>
      <c r="C1025" s="1">
        <v>1</v>
      </c>
      <c r="D1025" s="1" t="s">
        <v>824</v>
      </c>
      <c r="E1025" s="28" t="s">
        <v>760</v>
      </c>
      <c r="F1025" s="8" t="s">
        <v>775</v>
      </c>
      <c r="G1025" s="13">
        <v>10000</v>
      </c>
      <c r="H1025" s="6"/>
      <c r="I1025" s="6"/>
      <c r="J1025" s="7"/>
      <c r="K1025" s="85"/>
      <c r="L1025" s="73"/>
      <c r="M1025" s="73"/>
      <c r="N1025" s="73"/>
      <c r="O1025" s="3" t="str">
        <f>IF(C1025="","",IF(C1025=5,IFERROR(INDEX(code_Note1!$F$13:$F$16,MATCH(E1025,code_Note1!$E$13:$E$16,0)),INDEX(code_Note1!$F$16,1)),IF(B1025&lt;code_Note1!$D$21,"No",IFERROR(VLOOKUP(C1025,code_Note1!$D$3:$G$8,3,FALSE),""))))</f>
        <v>Yes</v>
      </c>
      <c r="P1025" s="3" t="s">
        <v>832</v>
      </c>
    </row>
    <row r="1026" spans="1:16" ht="19.5" customHeight="1">
      <c r="A1026" s="2" t="s">
        <v>858</v>
      </c>
      <c r="B1026" s="38">
        <v>46156</v>
      </c>
      <c r="C1026" s="1">
        <v>5</v>
      </c>
      <c r="D1026" s="1" t="s">
        <v>657</v>
      </c>
      <c r="E1026" s="28" t="s">
        <v>657</v>
      </c>
      <c r="F1026" s="8" t="s">
        <v>776</v>
      </c>
      <c r="G1026" s="6">
        <v>0</v>
      </c>
      <c r="H1026" s="6"/>
      <c r="J1026" s="7"/>
      <c r="K1026" s="85">
        <v>150000</v>
      </c>
      <c r="L1026" s="73"/>
      <c r="M1026" s="73"/>
      <c r="N1026" s="73"/>
      <c r="O1026" s="3" t="str">
        <f>IF(C1026="","",IF(C1026=5,IFERROR(INDEX(code_Note1!$F$13:$F$16,MATCH(E1026,code_Note1!$E$13:$E$16,0)),INDEX(code_Note1!$F$16,1)),IF(B1026&lt;code_Note1!$D$21,"No",IFERROR(VLOOKUP(C1026,code_Note1!$D$3:$G$8,3,FALSE),""))))</f>
        <v>Yes</v>
      </c>
      <c r="P1026" s="3" t="s">
        <v>831</v>
      </c>
    </row>
    <row r="1027" spans="1:16" ht="19.5" customHeight="1">
      <c r="A1027" s="2" t="s">
        <v>858</v>
      </c>
      <c r="B1027" s="38">
        <v>46158</v>
      </c>
      <c r="C1027" s="1">
        <v>5</v>
      </c>
      <c r="D1027" s="1" t="s">
        <v>657</v>
      </c>
      <c r="E1027" s="28" t="s">
        <v>657</v>
      </c>
      <c r="F1027" s="8" t="s">
        <v>762</v>
      </c>
      <c r="G1027" s="6">
        <v>0</v>
      </c>
      <c r="H1027" s="6"/>
      <c r="I1027" s="6"/>
      <c r="J1027" s="7"/>
      <c r="K1027" s="85">
        <v>500000</v>
      </c>
      <c r="L1027" s="73"/>
      <c r="M1027" s="73"/>
      <c r="N1027" s="73"/>
      <c r="O1027" s="3" t="str">
        <f>IF(C1027="","",IF(C1027=5,IFERROR(INDEX(code_Note1!$F$13:$F$16,MATCH(E1027,code_Note1!$E$13:$E$16,0)),INDEX(code_Note1!$F$16,1)),IF(B1027&lt;code_Note1!$D$21,"No",IFERROR(VLOOKUP(C1027,code_Note1!$D$3:$G$8,3,FALSE),""))))</f>
        <v>Yes</v>
      </c>
      <c r="P1027" s="3" t="s">
        <v>831</v>
      </c>
    </row>
    <row r="1028" spans="1:16" ht="19.5" customHeight="1">
      <c r="A1028" s="2" t="s">
        <v>858</v>
      </c>
      <c r="B1028" s="38">
        <v>46158</v>
      </c>
      <c r="C1028" s="1">
        <v>5</v>
      </c>
      <c r="D1028" s="1" t="s">
        <v>657</v>
      </c>
      <c r="E1028" s="28" t="s">
        <v>657</v>
      </c>
      <c r="F1028" s="8" t="s">
        <v>777</v>
      </c>
      <c r="G1028" s="6">
        <v>0</v>
      </c>
      <c r="H1028" s="52"/>
      <c r="I1028" s="52"/>
      <c r="J1028" s="86"/>
      <c r="K1028" s="85">
        <v>250000</v>
      </c>
      <c r="L1028" s="73"/>
      <c r="M1028" s="73"/>
      <c r="N1028" s="73"/>
      <c r="O1028" s="3" t="str">
        <f>IF(C1028="","",IF(C1028=5,IFERROR(INDEX(code_Note1!$F$13:$F$16,MATCH(E1028,code_Note1!$E$13:$E$16,0)),INDEX(code_Note1!$F$16,1)),IF(B1028&lt;code_Note1!$D$21,"No",IFERROR(VLOOKUP(C1028,code_Note1!$D$3:$G$8,3,FALSE),""))))</f>
        <v>Yes</v>
      </c>
      <c r="P1028" s="3" t="s">
        <v>831</v>
      </c>
    </row>
    <row r="1029" spans="1:16" ht="19.5" customHeight="1">
      <c r="A1029" s="2" t="s">
        <v>858</v>
      </c>
      <c r="B1029" s="38">
        <v>46160</v>
      </c>
      <c r="C1029" s="1">
        <v>1</v>
      </c>
      <c r="D1029" s="1" t="s">
        <v>824</v>
      </c>
      <c r="E1029" s="28" t="s">
        <v>760</v>
      </c>
      <c r="F1029" s="8" t="s">
        <v>759</v>
      </c>
      <c r="G1029" s="49">
        <v>30000</v>
      </c>
      <c r="H1029" s="52"/>
      <c r="I1029" s="52"/>
      <c r="J1029" s="86"/>
      <c r="K1029" s="85"/>
      <c r="L1029" s="73"/>
      <c r="M1029" s="73"/>
      <c r="N1029" s="73"/>
      <c r="O1029" s="3" t="str">
        <f>IF(C1029="","",IF(C1029=5,IFERROR(INDEX(code_Note1!$F$13:$F$16,MATCH(E1029,code_Note1!$E$13:$E$16,0)),INDEX(code_Note1!$F$16,1)),IF(B1029&lt;code_Note1!$D$21,"No",IFERROR(VLOOKUP(C1029,code_Note1!$D$3:$G$8,3,FALSE),""))))</f>
        <v>Yes</v>
      </c>
      <c r="P1029" s="3" t="s">
        <v>832</v>
      </c>
    </row>
    <row r="1030" spans="1:16" ht="19.5" customHeight="1">
      <c r="A1030" s="2" t="s">
        <v>858</v>
      </c>
      <c r="B1030" s="38">
        <v>46159</v>
      </c>
      <c r="C1030" s="1">
        <v>3</v>
      </c>
      <c r="D1030" s="1" t="s">
        <v>823</v>
      </c>
      <c r="E1030" s="38" t="s">
        <v>12</v>
      </c>
      <c r="F1030" s="10" t="s">
        <v>778</v>
      </c>
      <c r="G1030" s="13">
        <v>133000</v>
      </c>
      <c r="H1030" s="86"/>
      <c r="I1030" s="86"/>
      <c r="J1030" s="86"/>
      <c r="K1030" s="85"/>
      <c r="L1030" s="73"/>
      <c r="M1030" s="73"/>
      <c r="N1030" s="73"/>
      <c r="O1030" s="3" t="str">
        <f>IF(C1030="","",IF(C1030=5,IFERROR(INDEX(code_Note1!$F$13:$F$16,MATCH(E1030,code_Note1!$E$13:$E$16,0)),INDEX(code_Note1!$F$16,1)),IF(B1030&lt;code_Note1!$D$21,"No",IFERROR(VLOOKUP(C1030,code_Note1!$D$3:$G$8,3,FALSE),""))))</f>
        <v>yes</v>
      </c>
      <c r="P1030" s="3" t="s">
        <v>832</v>
      </c>
    </row>
    <row r="1031" spans="1:16" ht="19.5" customHeight="1">
      <c r="A1031" s="2" t="s">
        <v>858</v>
      </c>
      <c r="B1031" s="38">
        <v>46159</v>
      </c>
      <c r="C1031" s="1">
        <v>3</v>
      </c>
      <c r="D1031" s="1" t="s">
        <v>823</v>
      </c>
      <c r="E1031" s="38" t="s">
        <v>12</v>
      </c>
      <c r="F1031" s="16" t="s">
        <v>779</v>
      </c>
      <c r="G1031" s="15">
        <v>56000</v>
      </c>
      <c r="H1031" s="86"/>
      <c r="I1031" s="86"/>
      <c r="J1031" s="86"/>
      <c r="K1031" s="85"/>
      <c r="L1031" s="73"/>
      <c r="M1031" s="73"/>
      <c r="N1031" s="73"/>
      <c r="O1031" s="3" t="str">
        <f>IF(C1031="","",IF(C1031=5,IFERROR(INDEX(code_Note1!$F$13:$F$16,MATCH(E1031,code_Note1!$E$13:$E$16,0)),INDEX(code_Note1!$F$16,1)),IF(B1031&lt;code_Note1!$D$21,"No",IFERROR(VLOOKUP(C1031,code_Note1!$D$3:$G$8,3,FALSE),""))))</f>
        <v>yes</v>
      </c>
      <c r="P1031" s="3" t="s">
        <v>832</v>
      </c>
    </row>
    <row r="1032" spans="1:16" ht="19.5" customHeight="1">
      <c r="A1032" s="2" t="s">
        <v>858</v>
      </c>
      <c r="B1032" s="38">
        <v>46159</v>
      </c>
      <c r="C1032" s="1">
        <v>3</v>
      </c>
      <c r="D1032" s="1" t="s">
        <v>823</v>
      </c>
      <c r="E1032" s="38" t="s">
        <v>12</v>
      </c>
      <c r="F1032" s="16" t="s">
        <v>210</v>
      </c>
      <c r="G1032" s="15">
        <v>845000</v>
      </c>
      <c r="H1032" s="86"/>
      <c r="I1032" s="86"/>
      <c r="J1032" s="86"/>
      <c r="K1032" s="85"/>
      <c r="L1032" s="73"/>
      <c r="M1032" s="73"/>
      <c r="N1032" s="73"/>
      <c r="O1032" s="3" t="str">
        <f>IF(C1032="","",IF(C1032=5,IFERROR(INDEX(code_Note1!$F$13:$F$16,MATCH(E1032,code_Note1!$E$13:$E$16,0)),INDEX(code_Note1!$F$16,1)),IF(B1032&lt;code_Note1!$D$21,"No",IFERROR(VLOOKUP(C1032,code_Note1!$D$3:$G$8,3,FALSE),""))))</f>
        <v>yes</v>
      </c>
      <c r="P1032" s="3" t="s">
        <v>832</v>
      </c>
    </row>
    <row r="1033" spans="1:16" ht="19.5" customHeight="1">
      <c r="A1033" s="2" t="s">
        <v>858</v>
      </c>
      <c r="B1033" s="38">
        <v>46161</v>
      </c>
      <c r="C1033" s="1">
        <v>3</v>
      </c>
      <c r="D1033" s="1" t="s">
        <v>823</v>
      </c>
      <c r="E1033" s="1" t="s">
        <v>44</v>
      </c>
      <c r="F1033" s="8" t="s">
        <v>763</v>
      </c>
      <c r="G1033" s="6">
        <v>300000</v>
      </c>
      <c r="H1033" s="86"/>
      <c r="I1033" s="86"/>
      <c r="J1033" s="86"/>
      <c r="K1033" s="85"/>
      <c r="L1033" s="73"/>
      <c r="M1033" s="73"/>
      <c r="N1033" s="73"/>
      <c r="O1033" s="3" t="str">
        <f>IF(C1033="","",IF(C1033=5,IFERROR(INDEX(code_Note1!$F$13:$F$16,MATCH(E1033,code_Note1!$E$13:$E$16,0)),INDEX(code_Note1!$F$16,1)),IF(B1033&lt;code_Note1!$D$21,"No",IFERROR(VLOOKUP(C1033,code_Note1!$D$3:$G$8,3,FALSE),""))))</f>
        <v>yes</v>
      </c>
      <c r="P1033" s="3" t="s">
        <v>832</v>
      </c>
    </row>
    <row r="1034" spans="1:16" ht="19.5" customHeight="1">
      <c r="A1034" s="2" t="s">
        <v>858</v>
      </c>
      <c r="B1034" s="38">
        <v>46165</v>
      </c>
      <c r="C1034" s="1">
        <v>3</v>
      </c>
      <c r="D1034" s="1" t="s">
        <v>823</v>
      </c>
      <c r="E1034" s="38" t="s">
        <v>12</v>
      </c>
      <c r="F1034" s="8" t="s">
        <v>780</v>
      </c>
      <c r="G1034" s="7">
        <v>136000</v>
      </c>
      <c r="H1034" s="86"/>
      <c r="I1034" s="86"/>
      <c r="J1034" s="86"/>
      <c r="K1034" s="85"/>
      <c r="L1034" s="73"/>
      <c r="M1034" s="73"/>
      <c r="N1034" s="73"/>
      <c r="O1034" s="3" t="str">
        <f>IF(C1034="","",IF(C1034=5,IFERROR(INDEX(code_Note1!$F$13:$F$16,MATCH(E1034,code_Note1!$E$13:$E$16,0)),INDEX(code_Note1!$F$16,1)),IF(B1034&lt;code_Note1!$D$21,"No",IFERROR(VLOOKUP(C1034,code_Note1!$D$3:$G$8,3,FALSE),""))))</f>
        <v>yes</v>
      </c>
      <c r="P1034" s="3" t="s">
        <v>832</v>
      </c>
    </row>
    <row r="1035" spans="1:16" ht="19.5" customHeight="1">
      <c r="A1035" s="2" t="s">
        <v>858</v>
      </c>
      <c r="B1035" s="38">
        <v>46165</v>
      </c>
      <c r="C1035" s="1">
        <v>1</v>
      </c>
      <c r="D1035" s="1" t="s">
        <v>824</v>
      </c>
      <c r="E1035" s="1" t="s">
        <v>760</v>
      </c>
      <c r="F1035" s="8" t="s">
        <v>759</v>
      </c>
      <c r="G1035" s="7">
        <v>20000</v>
      </c>
      <c r="H1035" s="86"/>
      <c r="I1035" s="86"/>
      <c r="J1035" s="86"/>
      <c r="K1035" s="85"/>
      <c r="L1035" s="73"/>
      <c r="M1035" s="73"/>
      <c r="N1035" s="73"/>
      <c r="O1035" s="3" t="str">
        <f>IF(C1035="","",IF(C1035=5,IFERROR(INDEX(code_Note1!$F$13:$F$16,MATCH(E1035,code_Note1!$E$13:$E$16,0)),INDEX(code_Note1!$F$16,1)),IF(B1035&lt;code_Note1!$D$21,"No",IFERROR(VLOOKUP(C1035,code_Note1!$D$3:$G$8,3,FALSE),""))))</f>
        <v>Yes</v>
      </c>
      <c r="P1035" s="3" t="s">
        <v>832</v>
      </c>
    </row>
    <row r="1036" spans="1:16" ht="19.5" customHeight="1">
      <c r="A1036" s="2" t="s">
        <v>858</v>
      </c>
      <c r="B1036" s="38">
        <v>46165</v>
      </c>
      <c r="C1036" s="1">
        <v>1</v>
      </c>
      <c r="D1036" s="1" t="s">
        <v>824</v>
      </c>
      <c r="E1036" s="1" t="s">
        <v>657</v>
      </c>
      <c r="F1036" s="8" t="s">
        <v>781</v>
      </c>
      <c r="G1036" s="7">
        <v>0</v>
      </c>
      <c r="H1036" s="86"/>
      <c r="I1036" s="86"/>
      <c r="J1036" s="86"/>
      <c r="K1036" s="85">
        <v>440000</v>
      </c>
      <c r="L1036" s="73"/>
      <c r="M1036" s="73"/>
      <c r="N1036" s="73"/>
      <c r="O1036" s="3" t="str">
        <f>IF(C1036="","",IF(C1036=5,IFERROR(INDEX(code_Note1!$F$13:$F$16,MATCH(E1036,code_Note1!$E$13:$E$16,0)),INDEX(code_Note1!$F$16,1)),IF(B1036&lt;code_Note1!$D$21,"No",IFERROR(VLOOKUP(C1036,code_Note1!$D$3:$G$8,3,FALSE),""))))</f>
        <v>Yes</v>
      </c>
      <c r="P1036" s="3" t="s">
        <v>832</v>
      </c>
    </row>
    <row r="1037" spans="1:16" ht="19.5" customHeight="1">
      <c r="A1037" s="2" t="s">
        <v>854</v>
      </c>
      <c r="B1037" s="38">
        <v>46166</v>
      </c>
      <c r="C1037" s="1">
        <v>2</v>
      </c>
      <c r="D1037" s="1" t="s">
        <v>838</v>
      </c>
      <c r="E1037" s="1" t="s">
        <v>127</v>
      </c>
      <c r="F1037" s="8" t="s">
        <v>782</v>
      </c>
      <c r="G1037" s="13">
        <v>500000</v>
      </c>
      <c r="H1037" s="86"/>
      <c r="I1037" s="86"/>
      <c r="J1037" s="86"/>
      <c r="K1037" s="85"/>
      <c r="L1037" s="73"/>
      <c r="M1037" s="73"/>
      <c r="N1037" s="73"/>
      <c r="O1037" s="3" t="str">
        <f>IF(C1037="","",IF(C1037=5,IFERROR(INDEX(code_Note1!$F$13:$F$16,MATCH(E1037,code_Note1!$E$13:$E$16,0)),INDEX(code_Note1!$F$16,1)),IF(B1037&lt;code_Note1!$D$21,"No",IFERROR(VLOOKUP(C1037,code_Note1!$D$3:$G$8,3,FALSE),""))))</f>
        <v>No</v>
      </c>
      <c r="P1037" s="3" t="s">
        <v>831</v>
      </c>
    </row>
    <row r="1038" spans="1:16" ht="19.5" customHeight="1">
      <c r="A1038" s="2" t="s">
        <v>858</v>
      </c>
      <c r="B1038" s="38">
        <v>46166</v>
      </c>
      <c r="C1038" s="1">
        <v>3</v>
      </c>
      <c r="D1038" s="1" t="s">
        <v>823</v>
      </c>
      <c r="E1038" s="1" t="s">
        <v>12</v>
      </c>
      <c r="F1038" s="8" t="s">
        <v>783</v>
      </c>
      <c r="G1038" s="13">
        <v>650000</v>
      </c>
      <c r="H1038" s="86"/>
      <c r="I1038" s="86"/>
      <c r="J1038" s="86"/>
      <c r="K1038" s="85"/>
      <c r="L1038" s="73"/>
      <c r="M1038" s="73"/>
      <c r="N1038" s="73"/>
      <c r="O1038" s="3" t="str">
        <f>IF(C1038="","",IF(C1038=5,IFERROR(INDEX(code_Note1!$F$13:$F$16,MATCH(E1038,code_Note1!$E$13:$E$16,0)),INDEX(code_Note1!$F$16,1)),IF(B1038&lt;code_Note1!$D$21,"No",IFERROR(VLOOKUP(C1038,code_Note1!$D$3:$G$8,3,FALSE),""))))</f>
        <v>yes</v>
      </c>
      <c r="P1038" s="3" t="s">
        <v>832</v>
      </c>
    </row>
    <row r="1039" spans="1:16" ht="19.5" customHeight="1">
      <c r="A1039" s="2" t="s">
        <v>858</v>
      </c>
      <c r="B1039" s="38">
        <v>46167</v>
      </c>
      <c r="C1039" s="1">
        <v>3</v>
      </c>
      <c r="D1039" s="1" t="s">
        <v>823</v>
      </c>
      <c r="E1039" s="1" t="s">
        <v>521</v>
      </c>
      <c r="F1039" s="17" t="s">
        <v>784</v>
      </c>
      <c r="G1039" s="13">
        <v>4500000</v>
      </c>
      <c r="H1039" s="86"/>
      <c r="I1039" s="86"/>
      <c r="J1039" s="86"/>
      <c r="K1039" s="85"/>
      <c r="L1039" s="73"/>
      <c r="M1039" s="73"/>
      <c r="N1039" s="73"/>
      <c r="O1039" s="3" t="str">
        <f>IF(C1039="","",IF(C1039=5,IFERROR(INDEX(code_Note1!$F$13:$F$16,MATCH(E1039,code_Note1!$E$13:$E$16,0)),INDEX(code_Note1!$F$16,1)),IF(B1039&lt;code_Note1!$D$21,"No",IFERROR(VLOOKUP(C1039,code_Note1!$D$3:$G$8,3,FALSE),""))))</f>
        <v>yes</v>
      </c>
      <c r="P1039" s="3" t="s">
        <v>832</v>
      </c>
    </row>
    <row r="1040" spans="1:16" ht="19.5" customHeight="1">
      <c r="A1040" s="2" t="s">
        <v>858</v>
      </c>
      <c r="B1040" s="38">
        <v>46167</v>
      </c>
      <c r="C1040" s="1">
        <v>3</v>
      </c>
      <c r="D1040" s="1" t="s">
        <v>823</v>
      </c>
      <c r="E1040" s="1" t="s">
        <v>44</v>
      </c>
      <c r="F1040" s="8" t="s">
        <v>785</v>
      </c>
      <c r="G1040" s="13">
        <v>195000</v>
      </c>
      <c r="H1040" s="86"/>
      <c r="I1040" s="86"/>
      <c r="J1040" s="86"/>
      <c r="K1040" s="85"/>
      <c r="L1040" s="73"/>
      <c r="M1040" s="73"/>
      <c r="N1040" s="73"/>
      <c r="O1040" s="3" t="str">
        <f>IF(C1040="","",IF(C1040=5,IFERROR(INDEX(code_Note1!$F$13:$F$16,MATCH(E1040,code_Note1!$E$13:$E$16,0)),INDEX(code_Note1!$F$16,1)),IF(B1040&lt;code_Note1!$D$21,"No",IFERROR(VLOOKUP(C1040,code_Note1!$D$3:$G$8,3,FALSE),""))))</f>
        <v>yes</v>
      </c>
      <c r="P1040" s="3" t="s">
        <v>832</v>
      </c>
    </row>
    <row r="1041" spans="1:16" ht="19.5" customHeight="1">
      <c r="A1041" s="2" t="s">
        <v>858</v>
      </c>
      <c r="B1041" s="38">
        <v>46167</v>
      </c>
      <c r="C1041" s="1">
        <v>1</v>
      </c>
      <c r="D1041" s="1" t="s">
        <v>824</v>
      </c>
      <c r="E1041" s="1" t="s">
        <v>760</v>
      </c>
      <c r="F1041" s="8" t="s">
        <v>759</v>
      </c>
      <c r="G1041" s="49">
        <v>30000</v>
      </c>
      <c r="H1041" s="86"/>
      <c r="I1041" s="86"/>
      <c r="J1041" s="86"/>
      <c r="K1041" s="85"/>
      <c r="L1041" s="73"/>
      <c r="M1041" s="73"/>
      <c r="N1041" s="73"/>
      <c r="O1041" s="3" t="str">
        <f>IF(C1041="","",IF(C1041=5,IFERROR(INDEX(code_Note1!$F$13:$F$16,MATCH(E1041,code_Note1!$E$13:$E$16,0)),INDEX(code_Note1!$F$16,1)),IF(B1041&lt;code_Note1!$D$21,"No",IFERROR(VLOOKUP(C1041,code_Note1!$D$3:$G$8,3,FALSE),""))))</f>
        <v>Yes</v>
      </c>
      <c r="P1041" s="3" t="s">
        <v>832</v>
      </c>
    </row>
    <row r="1042" spans="1:16" ht="19.5" customHeight="1">
      <c r="A1042" s="2" t="s">
        <v>854</v>
      </c>
      <c r="B1042" s="38">
        <v>46142</v>
      </c>
      <c r="C1042" s="1" t="s">
        <v>844</v>
      </c>
      <c r="D1042" s="1" t="s">
        <v>826</v>
      </c>
      <c r="E1042" s="28" t="s">
        <v>523</v>
      </c>
      <c r="F1042" s="9" t="s">
        <v>786</v>
      </c>
      <c r="G1042" s="15">
        <v>124500000</v>
      </c>
      <c r="H1042" s="6"/>
      <c r="I1042" s="6"/>
      <c r="J1042" s="7"/>
      <c r="K1042" s="73"/>
      <c r="L1042" s="73"/>
      <c r="M1042" s="73"/>
      <c r="N1042" s="73"/>
      <c r="O1042" s="3" t="str">
        <f>IF(C1042="","",IF(C1042=5,IFERROR(INDEX(code_Note1!$F$13:$F$16,MATCH(E1042,code_Note1!$E$13:$E$16,0)),INDEX(code_Note1!$F$16,1)),IF(B1042&lt;code_Note1!$D$21,"No",IFERROR(VLOOKUP(C1042,code_Note1!$D$3:$G$8,3,FALSE),""))))</f>
        <v>No</v>
      </c>
      <c r="P1042" s="3" t="s">
        <v>833</v>
      </c>
    </row>
    <row r="1043" spans="1:16" ht="19.5" customHeight="1">
      <c r="A1043" s="2" t="s">
        <v>854</v>
      </c>
      <c r="B1043" s="38">
        <v>46155</v>
      </c>
      <c r="C1043" s="1" t="s">
        <v>844</v>
      </c>
      <c r="D1043" s="1" t="s">
        <v>826</v>
      </c>
      <c r="E1043" s="28" t="s">
        <v>523</v>
      </c>
      <c r="F1043" s="9" t="s">
        <v>788</v>
      </c>
      <c r="G1043" s="15">
        <v>190000</v>
      </c>
      <c r="H1043" s="6"/>
      <c r="I1043" s="6"/>
      <c r="J1043" s="7"/>
      <c r="K1043" s="87"/>
      <c r="L1043" s="73"/>
      <c r="M1043" s="73"/>
      <c r="N1043" s="73"/>
      <c r="O1043" s="3" t="str">
        <f>IF(C1043="","",IF(C1043=5,IFERROR(INDEX(code_Note1!$F$13:$F$16,MATCH(E1043,code_Note1!$E$13:$E$16,0)),INDEX(code_Note1!$F$16,1)),IF(B1043&lt;code_Note1!$D$21,"No",IFERROR(VLOOKUP(C1043,code_Note1!$D$3:$G$8,3,FALSE),""))))</f>
        <v>No</v>
      </c>
      <c r="P1043" s="3" t="s">
        <v>833</v>
      </c>
    </row>
    <row r="1044" spans="1:16" ht="19.5" customHeight="1">
      <c r="A1044" s="2" t="s">
        <v>858</v>
      </c>
      <c r="B1044" s="38">
        <v>46172</v>
      </c>
      <c r="C1044" s="1">
        <v>1</v>
      </c>
      <c r="D1044" s="1" t="s">
        <v>824</v>
      </c>
      <c r="E1044" s="1" t="s">
        <v>760</v>
      </c>
      <c r="F1044" s="9" t="s">
        <v>789</v>
      </c>
      <c r="G1044" s="15">
        <v>50000</v>
      </c>
      <c r="H1044" s="86"/>
      <c r="I1044" s="86"/>
      <c r="J1044" s="86"/>
      <c r="K1044" s="85"/>
      <c r="L1044" s="73"/>
      <c r="M1044" s="73"/>
      <c r="N1044" s="73"/>
      <c r="O1044" s="3" t="str">
        <f>IF(C1044="","",IF(C1044=5,IFERROR(INDEX(code_Note1!$F$13:$F$16,MATCH(E1044,code_Note1!$E$13:$E$16,0)),INDEX(code_Note1!$F$16,1)),IF(B1044&lt;code_Note1!$D$21,"No",IFERROR(VLOOKUP(C1044,code_Note1!$D$3:$G$8,3,FALSE),""))))</f>
        <v>Yes</v>
      </c>
      <c r="P1044" s="3" t="s">
        <v>832</v>
      </c>
    </row>
    <row r="1045" spans="1:16" ht="19.5" customHeight="1">
      <c r="A1045" s="2" t="s">
        <v>858</v>
      </c>
      <c r="B1045" s="38">
        <v>46172</v>
      </c>
      <c r="C1045" s="1">
        <v>1</v>
      </c>
      <c r="D1045" s="1" t="s">
        <v>824</v>
      </c>
      <c r="E1045" s="37" t="s">
        <v>728</v>
      </c>
      <c r="F1045" s="9" t="s">
        <v>728</v>
      </c>
      <c r="G1045" s="15">
        <v>871650</v>
      </c>
      <c r="H1045" s="86"/>
      <c r="I1045" s="86"/>
      <c r="J1045" s="86"/>
      <c r="K1045" s="85"/>
      <c r="L1045" s="73"/>
      <c r="M1045" s="73"/>
      <c r="N1045" s="73"/>
      <c r="O1045" s="3" t="str">
        <f>IF(C1045="","",IF(C1045=5,IFERROR(INDEX(code_Note1!$F$13:$F$16,MATCH(E1045,code_Note1!$E$13:$E$16,0)),INDEX(code_Note1!$F$16,1)),IF(B1045&lt;code_Note1!$D$21,"No",IFERROR(VLOOKUP(C1045,code_Note1!$D$3:$G$8,3,FALSE),""))))</f>
        <v>Yes</v>
      </c>
      <c r="P1045" s="3" t="s">
        <v>832</v>
      </c>
    </row>
    <row r="1046" spans="1:16" ht="19.5" customHeight="1">
      <c r="A1046" s="2" t="s">
        <v>858</v>
      </c>
      <c r="B1046" s="38">
        <v>46172</v>
      </c>
      <c r="C1046" s="1">
        <v>1</v>
      </c>
      <c r="D1046" s="1" t="s">
        <v>824</v>
      </c>
      <c r="E1046" s="1" t="s">
        <v>332</v>
      </c>
      <c r="F1046" s="8" t="s">
        <v>790</v>
      </c>
      <c r="G1046" s="6">
        <v>200000</v>
      </c>
      <c r="H1046" s="86"/>
      <c r="I1046" s="86"/>
      <c r="J1046" s="86"/>
      <c r="K1046" s="85"/>
      <c r="L1046" s="73"/>
      <c r="M1046" s="73"/>
      <c r="N1046" s="73"/>
      <c r="O1046" s="3" t="str">
        <f>IF(C1046="","",IF(C1046=5,IFERROR(INDEX(code_Note1!$F$13:$F$16,MATCH(E1046,code_Note1!$E$13:$E$16,0)),INDEX(code_Note1!$F$16,1)),IF(B1046&lt;code_Note1!$D$21,"No",IFERROR(VLOOKUP(C1046,code_Note1!$D$3:$G$8,3,FALSE),""))))</f>
        <v>Yes</v>
      </c>
      <c r="P1046" s="3" t="s">
        <v>832</v>
      </c>
    </row>
    <row r="1047" spans="1:16" ht="19.5" customHeight="1">
      <c r="A1047" s="2" t="s">
        <v>858</v>
      </c>
      <c r="B1047" s="38">
        <v>46172</v>
      </c>
      <c r="C1047" s="1">
        <v>1</v>
      </c>
      <c r="D1047" s="1" t="s">
        <v>824</v>
      </c>
      <c r="E1047" s="1" t="s">
        <v>332</v>
      </c>
      <c r="F1047" s="9" t="s">
        <v>791</v>
      </c>
      <c r="G1047" s="15">
        <v>1436000</v>
      </c>
      <c r="H1047" s="86"/>
      <c r="I1047" s="86"/>
      <c r="J1047" s="86"/>
      <c r="K1047" s="85"/>
      <c r="L1047" s="73"/>
      <c r="M1047" s="73"/>
      <c r="N1047" s="73"/>
      <c r="O1047" s="3" t="str">
        <f>IF(C1047="","",IF(C1047=5,IFERROR(INDEX(code_Note1!$F$13:$F$16,MATCH(E1047,code_Note1!$E$13:$E$16,0)),INDEX(code_Note1!$F$16,1)),IF(B1047&lt;code_Note1!$D$21,"No",IFERROR(VLOOKUP(C1047,code_Note1!$D$3:$G$8,3,FALSE),""))))</f>
        <v>Yes</v>
      </c>
      <c r="P1047" s="3" t="s">
        <v>832</v>
      </c>
    </row>
    <row r="1048" spans="1:16" ht="19.5" customHeight="1">
      <c r="A1048" s="2" t="s">
        <v>858</v>
      </c>
      <c r="B1048" s="38">
        <v>46172</v>
      </c>
      <c r="C1048" s="1">
        <v>5</v>
      </c>
      <c r="D1048" s="1" t="s">
        <v>657</v>
      </c>
      <c r="E1048" s="1" t="s">
        <v>657</v>
      </c>
      <c r="F1048" s="8" t="s">
        <v>792</v>
      </c>
      <c r="G1048" s="15">
        <v>0</v>
      </c>
      <c r="H1048" s="7"/>
      <c r="I1048" s="7"/>
      <c r="J1048" s="7"/>
      <c r="K1048" s="85">
        <v>60000</v>
      </c>
      <c r="L1048" s="73"/>
      <c r="M1048" s="73"/>
      <c r="N1048" s="73"/>
      <c r="O1048" s="3" t="str">
        <f>IF(C1048="","",IF(C1048=5,IFERROR(INDEX(code_Note1!$F$13:$F$16,MATCH(E1048,code_Note1!$E$13:$E$16,0)),INDEX(code_Note1!$F$16,1)),IF(B1048&lt;code_Note1!$D$21,"No",IFERROR(VLOOKUP(C1048,code_Note1!$D$3:$G$8,3,FALSE),""))))</f>
        <v>Yes</v>
      </c>
      <c r="P1048" s="3" t="s">
        <v>831</v>
      </c>
    </row>
    <row r="1049" spans="1:16" ht="19.5" customHeight="1">
      <c r="A1049" s="2" t="s">
        <v>858</v>
      </c>
      <c r="B1049" s="38">
        <v>46172</v>
      </c>
      <c r="C1049" s="1">
        <v>5</v>
      </c>
      <c r="D1049" s="1" t="s">
        <v>657</v>
      </c>
      <c r="E1049" s="1" t="s">
        <v>657</v>
      </c>
      <c r="F1049" s="8" t="s">
        <v>793</v>
      </c>
      <c r="G1049" s="7">
        <v>0</v>
      </c>
      <c r="H1049" s="86"/>
      <c r="I1049" s="86"/>
      <c r="J1049" s="86"/>
      <c r="K1049" s="85">
        <v>400000</v>
      </c>
      <c r="L1049" s="73"/>
      <c r="M1049" s="73"/>
      <c r="N1049" s="73"/>
      <c r="O1049" s="3" t="str">
        <f>IF(C1049="","",IF(C1049=5,IFERROR(INDEX(code_Note1!$F$13:$F$16,MATCH(E1049,code_Note1!$E$13:$E$16,0)),INDEX(code_Note1!$F$16,1)),IF(B1049&lt;code_Note1!$D$21,"No",IFERROR(VLOOKUP(C1049,code_Note1!$D$3:$G$8,3,FALSE),""))))</f>
        <v>Yes</v>
      </c>
      <c r="P1049" s="3" t="s">
        <v>831</v>
      </c>
    </row>
    <row r="1050" spans="1:16" ht="19.5" customHeight="1">
      <c r="A1050" s="2" t="s">
        <v>858</v>
      </c>
      <c r="B1050" s="38">
        <v>46172</v>
      </c>
      <c r="C1050" s="1">
        <v>5</v>
      </c>
      <c r="D1050" s="1" t="s">
        <v>657</v>
      </c>
      <c r="E1050" s="1" t="s">
        <v>657</v>
      </c>
      <c r="F1050" s="8" t="s">
        <v>794</v>
      </c>
      <c r="G1050" s="7">
        <v>0</v>
      </c>
      <c r="H1050" s="86"/>
      <c r="I1050" s="86"/>
      <c r="J1050" s="86"/>
      <c r="K1050" s="85">
        <v>1000000</v>
      </c>
      <c r="L1050" s="73"/>
      <c r="M1050" s="73"/>
      <c r="N1050" s="73"/>
      <c r="O1050" s="3" t="str">
        <f>IF(C1050="","",IF(C1050=5,IFERROR(INDEX(code_Note1!$F$13:$F$16,MATCH(E1050,code_Note1!$E$13:$E$16,0)),INDEX(code_Note1!$F$16,1)),IF(B1050&lt;code_Note1!$D$21,"No",IFERROR(VLOOKUP(C1050,code_Note1!$D$3:$G$8,3,FALSE),""))))</f>
        <v>Yes</v>
      </c>
      <c r="P1050" s="3" t="s">
        <v>831</v>
      </c>
    </row>
    <row r="1051" spans="1:16" ht="19.5" customHeight="1">
      <c r="A1051" s="2" t="s">
        <v>854</v>
      </c>
      <c r="B1051" s="38">
        <v>46172</v>
      </c>
      <c r="C1051" s="1" t="s">
        <v>844</v>
      </c>
      <c r="D1051" s="1" t="s">
        <v>826</v>
      </c>
      <c r="E1051" s="28" t="s">
        <v>21</v>
      </c>
      <c r="F1051" s="8" t="s">
        <v>795</v>
      </c>
      <c r="G1051" s="13">
        <v>1300000</v>
      </c>
      <c r="H1051" s="7"/>
      <c r="I1051" s="7"/>
      <c r="J1051" s="7"/>
      <c r="K1051" s="85"/>
      <c r="L1051" s="73"/>
      <c r="M1051" s="73"/>
      <c r="N1051" s="73"/>
      <c r="O1051" s="3" t="str">
        <f>IF(C1051="","",IF(C1051=5,IFERROR(INDEX(code_Note1!$F$13:$F$16,MATCH(E1051,code_Note1!$E$13:$E$16,0)),INDEX(code_Note1!$F$16,1)),IF(B1051&lt;code_Note1!$D$21,"No",IFERROR(VLOOKUP(C1051,code_Note1!$D$3:$G$8,3,FALSE),""))))</f>
        <v>No</v>
      </c>
      <c r="P1051" s="3" t="s">
        <v>833</v>
      </c>
    </row>
    <row r="1052" spans="1:16" ht="19.5" customHeight="1">
      <c r="A1052" s="2" t="s">
        <v>858</v>
      </c>
      <c r="B1052" s="38">
        <v>46174</v>
      </c>
      <c r="C1052" s="1">
        <v>1</v>
      </c>
      <c r="D1052" s="1" t="s">
        <v>824</v>
      </c>
      <c r="E1052" s="1" t="s">
        <v>657</v>
      </c>
      <c r="F1052" s="8" t="s">
        <v>762</v>
      </c>
      <c r="G1052" s="7">
        <v>0</v>
      </c>
      <c r="H1052" s="7"/>
      <c r="I1052" s="7"/>
      <c r="J1052" s="7"/>
      <c r="K1052" s="85">
        <v>500000</v>
      </c>
      <c r="L1052" s="73"/>
      <c r="M1052" s="73"/>
      <c r="N1052" s="73"/>
      <c r="O1052" s="3" t="str">
        <f>IF(C1052="","",IF(C1052=5,IFERROR(INDEX(code_Note1!$F$13:$F$16,MATCH(E1052,code_Note1!$E$13:$E$16,0)),INDEX(code_Note1!$F$16,1)),IF(B1052&lt;code_Note1!$D$21,"No",IFERROR(VLOOKUP(C1052,code_Note1!$D$3:$G$8,3,FALSE),""))))</f>
        <v>Yes</v>
      </c>
      <c r="P1052" s="3" t="s">
        <v>832</v>
      </c>
    </row>
    <row r="1053" spans="1:16" ht="19.5" customHeight="1">
      <c r="A1053" s="2" t="s">
        <v>858</v>
      </c>
      <c r="B1053" s="38">
        <v>46174</v>
      </c>
      <c r="C1053" s="1">
        <v>1</v>
      </c>
      <c r="D1053" s="1" t="s">
        <v>824</v>
      </c>
      <c r="E1053" s="39" t="s">
        <v>285</v>
      </c>
      <c r="F1053" s="43" t="s">
        <v>284</v>
      </c>
      <c r="G1053" s="50">
        <v>14015959</v>
      </c>
      <c r="H1053" s="7"/>
      <c r="I1053" s="7"/>
      <c r="J1053" s="7"/>
      <c r="K1053" s="85"/>
      <c r="L1053" s="73"/>
      <c r="M1053" s="73"/>
      <c r="N1053" s="73"/>
      <c r="O1053" s="3" t="str">
        <f>IF(C1053="","",IF(C1053=5,IFERROR(INDEX(code_Note1!$F$13:$F$16,MATCH(E1053,code_Note1!$E$13:$E$16,0)),INDEX(code_Note1!$F$16,1)),IF(B1053&lt;code_Note1!$D$21,"No",IFERROR(VLOOKUP(C1053,code_Note1!$D$3:$G$8,3,FALSE),""))))</f>
        <v>Yes</v>
      </c>
      <c r="P1053" s="3" t="s">
        <v>832</v>
      </c>
    </row>
    <row r="1054" spans="1:16" ht="19.5" customHeight="1">
      <c r="A1054" s="2" t="s">
        <v>858</v>
      </c>
      <c r="B1054" s="38">
        <v>46174</v>
      </c>
      <c r="C1054" s="1">
        <v>1</v>
      </c>
      <c r="D1054" s="1" t="s">
        <v>824</v>
      </c>
      <c r="E1054" s="39" t="s">
        <v>285</v>
      </c>
      <c r="F1054" s="43" t="s">
        <v>284</v>
      </c>
      <c r="G1054" s="50">
        <v>15570783</v>
      </c>
      <c r="H1054" s="7"/>
      <c r="I1054" s="7"/>
      <c r="J1054" s="7"/>
      <c r="K1054" s="85"/>
      <c r="L1054" s="73"/>
      <c r="M1054" s="73"/>
      <c r="N1054" s="73"/>
      <c r="O1054" s="3" t="str">
        <f>IF(C1054="","",IF(C1054=5,IFERROR(INDEX(code_Note1!$F$13:$F$16,MATCH(E1054,code_Note1!$E$13:$E$16,0)),INDEX(code_Note1!$F$16,1)),IF(B1054&lt;code_Note1!$D$21,"No",IFERROR(VLOOKUP(C1054,code_Note1!$D$3:$G$8,3,FALSE),""))))</f>
        <v>Yes</v>
      </c>
      <c r="P1054" s="3" t="s">
        <v>832</v>
      </c>
    </row>
    <row r="1055" spans="1:16" ht="19.5" customHeight="1">
      <c r="A1055" s="2" t="s">
        <v>858</v>
      </c>
      <c r="B1055" s="38">
        <v>46174</v>
      </c>
      <c r="C1055" s="1">
        <v>1</v>
      </c>
      <c r="D1055" s="1" t="s">
        <v>824</v>
      </c>
      <c r="E1055" s="39" t="s">
        <v>285</v>
      </c>
      <c r="F1055" s="43" t="s">
        <v>284</v>
      </c>
      <c r="G1055" s="50">
        <v>3236522</v>
      </c>
      <c r="H1055" s="7"/>
      <c r="I1055" s="7"/>
      <c r="J1055" s="7"/>
      <c r="K1055" s="85"/>
      <c r="L1055" s="73"/>
      <c r="M1055" s="73"/>
      <c r="N1055" s="73"/>
      <c r="O1055" s="3" t="str">
        <f>IF(C1055="","",IF(C1055=5,IFERROR(INDEX(code_Note1!$F$13:$F$16,MATCH(E1055,code_Note1!$E$13:$E$16,0)),INDEX(code_Note1!$F$16,1)),IF(B1055&lt;code_Note1!$D$21,"No",IFERROR(VLOOKUP(C1055,code_Note1!$D$3:$G$8,3,FALSE),""))))</f>
        <v>Yes</v>
      </c>
      <c r="P1055" s="3" t="s">
        <v>832</v>
      </c>
    </row>
    <row r="1056" spans="1:16" ht="19.5" customHeight="1">
      <c r="A1056" s="2" t="s">
        <v>854</v>
      </c>
      <c r="B1056" s="38">
        <v>46108</v>
      </c>
      <c r="C1056" s="1" t="s">
        <v>844</v>
      </c>
      <c r="D1056" s="1" t="s">
        <v>826</v>
      </c>
      <c r="E1056" s="1" t="s">
        <v>34</v>
      </c>
      <c r="F1056" s="8" t="s">
        <v>796</v>
      </c>
      <c r="G1056" s="13">
        <v>25228500</v>
      </c>
      <c r="H1056" s="6"/>
      <c r="I1056" s="6"/>
      <c r="J1056" s="7"/>
      <c r="K1056" s="85"/>
      <c r="L1056" s="73"/>
      <c r="M1056" s="73"/>
      <c r="N1056" s="73"/>
      <c r="O1056" s="3" t="str">
        <f>IF(C1056="","",IF(C1056=5,IFERROR(INDEX(code_Note1!$F$13:$F$16,MATCH(E1056,code_Note1!$E$13:$E$16,0)),INDEX(code_Note1!$F$16,1)),IF(B1056&lt;code_Note1!$D$21,"No",IFERROR(VLOOKUP(C1056,code_Note1!$D$3:$G$8,3,FALSE),""))))</f>
        <v>No</v>
      </c>
      <c r="P1056" s="3" t="s">
        <v>833</v>
      </c>
    </row>
    <row r="1057" spans="1:16" ht="19.5" customHeight="1">
      <c r="A1057" s="2" t="s">
        <v>854</v>
      </c>
      <c r="B1057" s="38">
        <v>46114</v>
      </c>
      <c r="C1057" s="1" t="s">
        <v>844</v>
      </c>
      <c r="D1057" s="1" t="s">
        <v>826</v>
      </c>
      <c r="E1057" s="1" t="s">
        <v>34</v>
      </c>
      <c r="F1057" s="9" t="s">
        <v>798</v>
      </c>
      <c r="G1057" s="15">
        <v>4284000</v>
      </c>
      <c r="H1057" s="6"/>
      <c r="I1057" s="6"/>
      <c r="J1057" s="7"/>
      <c r="K1057" s="85"/>
      <c r="L1057" s="73"/>
      <c r="M1057" s="73"/>
      <c r="N1057" s="73"/>
      <c r="O1057" s="3" t="str">
        <f>IF(C1057="","",IF(C1057=5,IFERROR(INDEX(code_Note1!$F$13:$F$16,MATCH(E1057,code_Note1!$E$13:$E$16,0)),INDEX(code_Note1!$F$16,1)),IF(B1057&lt;code_Note1!$D$21,"No",IFERROR(VLOOKUP(C1057,code_Note1!$D$3:$G$8,3,FALSE),""))))</f>
        <v>No</v>
      </c>
      <c r="P1057" s="3" t="s">
        <v>833</v>
      </c>
    </row>
    <row r="1058" spans="1:16" ht="19.5" customHeight="1">
      <c r="A1058" s="2" t="s">
        <v>854</v>
      </c>
      <c r="B1058" s="38">
        <v>46116</v>
      </c>
      <c r="C1058" s="1" t="s">
        <v>844</v>
      </c>
      <c r="D1058" s="1" t="s">
        <v>826</v>
      </c>
      <c r="E1058" s="1" t="s">
        <v>82</v>
      </c>
      <c r="F1058" s="13" t="s">
        <v>799</v>
      </c>
      <c r="G1058" s="13">
        <v>6720000</v>
      </c>
      <c r="H1058" s="22"/>
      <c r="I1058" s="6"/>
      <c r="J1058" s="7"/>
      <c r="K1058" s="88"/>
      <c r="L1058" s="73"/>
      <c r="M1058" s="73"/>
      <c r="N1058" s="73"/>
      <c r="O1058" s="3" t="str">
        <f>IF(C1058="","",IF(C1058=5,IFERROR(INDEX(code_Note1!$F$13:$F$16,MATCH(E1058,code_Note1!$E$13:$E$16,0)),INDEX(code_Note1!$F$16,1)),IF(B1058&lt;code_Note1!$D$21,"No",IFERROR(VLOOKUP(C1058,code_Note1!$D$3:$G$8,3,FALSE),""))))</f>
        <v>No</v>
      </c>
      <c r="P1058" s="3" t="s">
        <v>833</v>
      </c>
    </row>
    <row r="1059" spans="1:16" ht="19.5" customHeight="1">
      <c r="A1059" s="2" t="s">
        <v>854</v>
      </c>
      <c r="B1059" s="38">
        <v>46116</v>
      </c>
      <c r="C1059" s="1" t="s">
        <v>844</v>
      </c>
      <c r="D1059" s="1" t="s">
        <v>826</v>
      </c>
      <c r="E1059" s="1" t="s">
        <v>46</v>
      </c>
      <c r="F1059" s="8" t="s">
        <v>800</v>
      </c>
      <c r="G1059" s="13">
        <v>2000000</v>
      </c>
      <c r="H1059" s="6"/>
      <c r="I1059" s="6"/>
      <c r="J1059" s="7"/>
      <c r="K1059" s="85"/>
      <c r="L1059" s="73"/>
      <c r="M1059" s="73"/>
      <c r="N1059" s="73"/>
      <c r="O1059" s="3" t="str">
        <f>IF(C1059="","",IF(C1059=5,IFERROR(INDEX(code_Note1!$F$13:$F$16,MATCH(E1059,code_Note1!$E$13:$E$16,0)),INDEX(code_Note1!$F$16,1)),IF(B1059&lt;code_Note1!$D$21,"No",IFERROR(VLOOKUP(C1059,code_Note1!$D$3:$G$8,3,FALSE),""))))</f>
        <v>No</v>
      </c>
      <c r="P1059" s="3" t="s">
        <v>833</v>
      </c>
    </row>
    <row r="1060" spans="1:16" ht="19.5" customHeight="1">
      <c r="A1060" s="2" t="s">
        <v>854</v>
      </c>
      <c r="B1060" s="89">
        <v>46122</v>
      </c>
      <c r="C1060" s="1" t="s">
        <v>844</v>
      </c>
      <c r="D1060" s="1" t="s">
        <v>826</v>
      </c>
      <c r="E1060" s="1" t="s">
        <v>82</v>
      </c>
      <c r="F1060" s="18" t="s">
        <v>801</v>
      </c>
      <c r="G1060" s="51">
        <v>0</v>
      </c>
      <c r="H1060" s="52">
        <v>34800</v>
      </c>
      <c r="I1060" s="52"/>
      <c r="J1060" s="86"/>
      <c r="K1060" s="85"/>
      <c r="L1060" s="73"/>
      <c r="M1060" s="73"/>
      <c r="N1060" s="73"/>
      <c r="O1060" s="3" t="str">
        <f>IF(C1060="","",IF(C1060=5,IFERROR(INDEX(code_Note1!$F$13:$F$16,MATCH(E1060,code_Note1!$E$13:$E$16,0)),INDEX(code_Note1!$F$16,1)),IF(B1060&lt;code_Note1!$D$21,"No",IFERROR(VLOOKUP(C1060,code_Note1!$D$3:$G$8,3,FALSE),""))))</f>
        <v>No</v>
      </c>
      <c r="P1060" s="3" t="s">
        <v>833</v>
      </c>
    </row>
    <row r="1061" spans="1:16" ht="19.5" customHeight="1">
      <c r="A1061" s="2" t="s">
        <v>854</v>
      </c>
      <c r="B1061" s="38">
        <v>46124</v>
      </c>
      <c r="C1061" s="1" t="s">
        <v>844</v>
      </c>
      <c r="D1061" s="1" t="s">
        <v>826</v>
      </c>
      <c r="E1061" s="1" t="s">
        <v>21</v>
      </c>
      <c r="F1061" s="8" t="s">
        <v>802</v>
      </c>
      <c r="G1061" s="6">
        <v>1129375</v>
      </c>
      <c r="H1061" s="6"/>
      <c r="I1061" s="6"/>
      <c r="J1061" s="7"/>
      <c r="K1061" s="85"/>
      <c r="L1061" s="73"/>
      <c r="M1061" s="73"/>
      <c r="N1061" s="73"/>
      <c r="O1061" s="3" t="str">
        <f>IF(C1061="","",IF(C1061=5,IFERROR(INDEX(code_Note1!$F$13:$F$16,MATCH(E1061,code_Note1!$E$13:$E$16,0)),INDEX(code_Note1!$F$16,1)),IF(B1061&lt;code_Note1!$D$21,"No",IFERROR(VLOOKUP(C1061,code_Note1!$D$3:$G$8,3,FALSE),""))))</f>
        <v>No</v>
      </c>
      <c r="P1061" s="3" t="s">
        <v>833</v>
      </c>
    </row>
    <row r="1062" spans="1:16" ht="19.5" customHeight="1">
      <c r="A1062" s="2" t="s">
        <v>854</v>
      </c>
      <c r="B1062" s="38">
        <v>46125</v>
      </c>
      <c r="C1062" s="1" t="s">
        <v>844</v>
      </c>
      <c r="D1062" s="1" t="s">
        <v>826</v>
      </c>
      <c r="E1062" s="1" t="s">
        <v>46</v>
      </c>
      <c r="F1062" s="8" t="s">
        <v>803</v>
      </c>
      <c r="G1062" s="6">
        <v>4940000</v>
      </c>
      <c r="H1062" s="6"/>
      <c r="I1062" s="6"/>
      <c r="J1062" s="7"/>
      <c r="K1062" s="85"/>
      <c r="L1062" s="73"/>
      <c r="M1062" s="73"/>
      <c r="N1062" s="73"/>
      <c r="O1062" s="3" t="str">
        <f>IF(C1062="","",IF(C1062=5,IFERROR(INDEX(code_Note1!$F$13:$F$16,MATCH(E1062,code_Note1!$E$13:$E$16,0)),INDEX(code_Note1!$F$16,1)),IF(B1062&lt;code_Note1!$D$21,"No",IFERROR(VLOOKUP(C1062,code_Note1!$D$3:$G$8,3,FALSE),""))))</f>
        <v>No</v>
      </c>
      <c r="P1062" s="3" t="s">
        <v>833</v>
      </c>
    </row>
    <row r="1063" spans="1:16" ht="19.5" customHeight="1">
      <c r="A1063" s="2" t="s">
        <v>854</v>
      </c>
      <c r="B1063" s="38">
        <v>46129</v>
      </c>
      <c r="C1063" s="1" t="s">
        <v>844</v>
      </c>
      <c r="D1063" s="1" t="s">
        <v>826</v>
      </c>
      <c r="E1063" s="1" t="s">
        <v>46</v>
      </c>
      <c r="F1063" s="8" t="s">
        <v>804</v>
      </c>
      <c r="G1063" s="19">
        <v>2500000</v>
      </c>
      <c r="H1063" s="52"/>
      <c r="I1063" s="52"/>
      <c r="J1063" s="86"/>
      <c r="K1063" s="85"/>
      <c r="L1063" s="73"/>
      <c r="M1063" s="73"/>
      <c r="N1063" s="73"/>
      <c r="O1063" s="3" t="str">
        <f>IF(C1063="","",IF(C1063=5,IFERROR(INDEX(code_Note1!$F$13:$F$16,MATCH(E1063,code_Note1!$E$13:$E$16,0)),INDEX(code_Note1!$F$16,1)),IF(B1063&lt;code_Note1!$D$21,"No",IFERROR(VLOOKUP(C1063,code_Note1!$D$3:$G$8,3,FALSE),""))))</f>
        <v>No</v>
      </c>
      <c r="P1063" s="3" t="s">
        <v>833</v>
      </c>
    </row>
    <row r="1064" spans="1:16" ht="19.5" customHeight="1">
      <c r="A1064" s="2" t="s">
        <v>854</v>
      </c>
      <c r="B1064" s="89">
        <v>46134</v>
      </c>
      <c r="C1064" s="1" t="s">
        <v>844</v>
      </c>
      <c r="D1064" s="1" t="s">
        <v>826</v>
      </c>
      <c r="E1064" s="1" t="s">
        <v>21</v>
      </c>
      <c r="F1064" s="18" t="s">
        <v>805</v>
      </c>
      <c r="G1064" s="52">
        <v>1827000</v>
      </c>
      <c r="H1064" s="52"/>
      <c r="I1064" s="52"/>
      <c r="J1064" s="86"/>
      <c r="K1064" s="85"/>
      <c r="L1064" s="73"/>
      <c r="M1064" s="73"/>
      <c r="N1064" s="73"/>
      <c r="O1064" s="3" t="str">
        <f>IF(C1064="","",IF(C1064=5,IFERROR(INDEX(code_Note1!$F$13:$F$16,MATCH(E1064,code_Note1!$E$13:$E$16,0)),INDEX(code_Note1!$F$16,1)),IF(B1064&lt;code_Note1!$D$21,"No",IFERROR(VLOOKUP(C1064,code_Note1!$D$3:$G$8,3,FALSE),""))))</f>
        <v>No</v>
      </c>
      <c r="P1064" s="3" t="s">
        <v>833</v>
      </c>
    </row>
    <row r="1065" spans="1:16" ht="19.5" customHeight="1">
      <c r="A1065" s="2" t="s">
        <v>854</v>
      </c>
      <c r="B1065" s="89">
        <v>46134</v>
      </c>
      <c r="C1065" s="1" t="s">
        <v>844</v>
      </c>
      <c r="D1065" s="1" t="s">
        <v>826</v>
      </c>
      <c r="E1065" s="1" t="s">
        <v>21</v>
      </c>
      <c r="F1065" s="18" t="s">
        <v>806</v>
      </c>
      <c r="G1065" s="52">
        <v>66474.600000000006</v>
      </c>
      <c r="H1065" s="90"/>
      <c r="I1065" s="90"/>
      <c r="J1065" s="90"/>
      <c r="K1065" s="85"/>
      <c r="L1065" s="73"/>
      <c r="M1065" s="73"/>
      <c r="N1065" s="73"/>
      <c r="O1065" s="3" t="str">
        <f>IF(C1065="","",IF(C1065=5,IFERROR(INDEX(code_Note1!$F$13:$F$16,MATCH(E1065,code_Note1!$E$13:$E$16,0)),INDEX(code_Note1!$F$16,1)),IF(B1065&lt;code_Note1!$D$21,"No",IFERROR(VLOOKUP(C1065,code_Note1!$D$3:$G$8,3,FALSE),""))))</f>
        <v>No</v>
      </c>
      <c r="P1065" s="3" t="s">
        <v>833</v>
      </c>
    </row>
    <row r="1066" spans="1:16" ht="19.5" customHeight="1">
      <c r="A1066" s="2" t="s">
        <v>854</v>
      </c>
      <c r="B1066" s="38">
        <v>46136</v>
      </c>
      <c r="C1066" s="1" t="s">
        <v>844</v>
      </c>
      <c r="D1066" s="1" t="s">
        <v>826</v>
      </c>
      <c r="E1066" s="1" t="s">
        <v>82</v>
      </c>
      <c r="F1066" s="8" t="s">
        <v>807</v>
      </c>
      <c r="G1066" s="6">
        <v>3580000</v>
      </c>
      <c r="H1066" s="6"/>
      <c r="I1066" s="6"/>
      <c r="J1066" s="7"/>
      <c r="K1066" s="85"/>
      <c r="L1066" s="73"/>
      <c r="M1066" s="73"/>
      <c r="N1066" s="73"/>
      <c r="O1066" s="3" t="str">
        <f>IF(C1066="","",IF(C1066=5,IFERROR(INDEX(code_Note1!$F$13:$F$16,MATCH(E1066,code_Note1!$E$13:$E$16,0)),INDEX(code_Note1!$F$16,1)),IF(B1066&lt;code_Note1!$D$21,"No",IFERROR(VLOOKUP(C1066,code_Note1!$D$3:$G$8,3,FALSE),""))))</f>
        <v>No</v>
      </c>
      <c r="P1066" s="3" t="s">
        <v>833</v>
      </c>
    </row>
    <row r="1067" spans="1:16" ht="19.5" customHeight="1">
      <c r="A1067" s="2" t="s">
        <v>854</v>
      </c>
      <c r="B1067" s="38">
        <v>46137</v>
      </c>
      <c r="C1067" s="1" t="s">
        <v>844</v>
      </c>
      <c r="D1067" s="1" t="s">
        <v>826</v>
      </c>
      <c r="E1067" s="1" t="s">
        <v>21</v>
      </c>
      <c r="F1067" s="8" t="s">
        <v>808</v>
      </c>
      <c r="G1067" s="13">
        <v>50000</v>
      </c>
      <c r="H1067" s="6"/>
      <c r="I1067" s="6"/>
      <c r="J1067" s="7"/>
      <c r="K1067" s="85"/>
      <c r="L1067" s="73"/>
      <c r="M1067" s="73"/>
      <c r="N1067" s="73"/>
      <c r="O1067" s="3" t="str">
        <f>IF(C1067="","",IF(C1067=5,IFERROR(INDEX(code_Note1!$F$13:$F$16,MATCH(E1067,code_Note1!$E$13:$E$16,0)),INDEX(code_Note1!$F$16,1)),IF(B1067&lt;code_Note1!$D$21,"No",IFERROR(VLOOKUP(C1067,code_Note1!$D$3:$G$8,3,FALSE),""))))</f>
        <v>No</v>
      </c>
      <c r="P1067" s="3" t="s">
        <v>833</v>
      </c>
    </row>
    <row r="1068" spans="1:16" ht="19.5" customHeight="1">
      <c r="A1068" s="2" t="s">
        <v>854</v>
      </c>
      <c r="B1068" s="38">
        <v>46139</v>
      </c>
      <c r="C1068" s="1" t="s">
        <v>844</v>
      </c>
      <c r="D1068" s="1" t="s">
        <v>826</v>
      </c>
      <c r="E1068" s="1" t="s">
        <v>34</v>
      </c>
      <c r="F1068" s="8" t="s">
        <v>809</v>
      </c>
      <c r="G1068" s="6">
        <v>24552500</v>
      </c>
      <c r="H1068" s="19"/>
      <c r="I1068" s="19"/>
      <c r="J1068" s="91"/>
      <c r="K1068" s="85"/>
      <c r="L1068" s="73"/>
      <c r="M1068" s="73"/>
      <c r="N1068" s="73"/>
      <c r="O1068" s="3" t="str">
        <f>IF(C1068="","",IF(C1068=5,IFERROR(INDEX(code_Note1!$F$13:$F$16,MATCH(E1068,code_Note1!$E$13:$E$16,0)),INDEX(code_Note1!$F$16,1)),IF(B1068&lt;code_Note1!$D$21,"No",IFERROR(VLOOKUP(C1068,code_Note1!$D$3:$G$8,3,FALSE),""))))</f>
        <v>No</v>
      </c>
      <c r="P1068" s="3" t="s">
        <v>833</v>
      </c>
    </row>
    <row r="1069" spans="1:16" ht="19.5" customHeight="1">
      <c r="A1069" s="2" t="s">
        <v>854</v>
      </c>
      <c r="B1069" s="38">
        <v>46139</v>
      </c>
      <c r="C1069" s="1" t="s">
        <v>844</v>
      </c>
      <c r="D1069" s="1" t="s">
        <v>826</v>
      </c>
      <c r="E1069" s="1" t="s">
        <v>34</v>
      </c>
      <c r="F1069" s="8" t="s">
        <v>810</v>
      </c>
      <c r="G1069" s="6">
        <v>37636500</v>
      </c>
      <c r="H1069" s="19"/>
      <c r="I1069" s="19"/>
      <c r="J1069" s="91"/>
      <c r="K1069" s="85"/>
      <c r="L1069" s="73"/>
      <c r="M1069" s="73"/>
      <c r="N1069" s="73"/>
      <c r="O1069" s="3" t="str">
        <f>IF(C1069="","",IF(C1069=5,IFERROR(INDEX(code_Note1!$F$13:$F$16,MATCH(E1069,code_Note1!$E$13:$E$16,0)),INDEX(code_Note1!$F$16,1)),IF(B1069&lt;code_Note1!$D$21,"No",IFERROR(VLOOKUP(C1069,code_Note1!$D$3:$G$8,3,FALSE),""))))</f>
        <v>No</v>
      </c>
      <c r="P1069" s="3" t="s">
        <v>833</v>
      </c>
    </row>
    <row r="1070" spans="1:16" ht="19.5" customHeight="1">
      <c r="A1070" s="2" t="s">
        <v>854</v>
      </c>
      <c r="B1070" s="38">
        <v>46142</v>
      </c>
      <c r="C1070" s="1" t="s">
        <v>844</v>
      </c>
      <c r="D1070" s="1" t="s">
        <v>826</v>
      </c>
      <c r="E1070" s="1" t="s">
        <v>46</v>
      </c>
      <c r="F1070" s="9" t="s">
        <v>130</v>
      </c>
      <c r="G1070" s="15">
        <v>6000000</v>
      </c>
      <c r="H1070" s="6"/>
      <c r="I1070" s="6"/>
      <c r="J1070" s="7"/>
      <c r="K1070" s="85"/>
      <c r="L1070" s="73"/>
      <c r="M1070" s="73"/>
      <c r="N1070" s="73"/>
      <c r="O1070" s="3" t="str">
        <f>IF(C1070="","",IF(C1070=5,IFERROR(INDEX(code_Note1!$F$13:$F$16,MATCH(E1070,code_Note1!$E$13:$E$16,0)),INDEX(code_Note1!$F$16,1)),IF(B1070&lt;code_Note1!$D$21,"No",IFERROR(VLOOKUP(C1070,code_Note1!$D$3:$G$8,3,FALSE),""))))</f>
        <v>No</v>
      </c>
      <c r="P1070" s="3" t="s">
        <v>833</v>
      </c>
    </row>
    <row r="1071" spans="1:16" ht="19.5" customHeight="1">
      <c r="A1071" s="2" t="s">
        <v>854</v>
      </c>
      <c r="B1071" s="89">
        <v>46146</v>
      </c>
      <c r="C1071" s="1" t="s">
        <v>844</v>
      </c>
      <c r="D1071" s="1" t="s">
        <v>826</v>
      </c>
      <c r="E1071" s="1" t="s">
        <v>21</v>
      </c>
      <c r="F1071" s="20" t="s">
        <v>811</v>
      </c>
      <c r="G1071" s="53">
        <v>1532821.2</v>
      </c>
      <c r="H1071" s="52"/>
      <c r="I1071" s="52"/>
      <c r="J1071" s="86"/>
      <c r="K1071" s="85"/>
      <c r="L1071" s="73"/>
      <c r="M1071" s="73"/>
      <c r="N1071" s="73"/>
      <c r="O1071" s="3" t="str">
        <f>IF(C1071="","",IF(C1071=5,IFERROR(INDEX(code_Note1!$F$13:$F$16,MATCH(E1071,code_Note1!$E$13:$E$16,0)),INDEX(code_Note1!$F$16,1)),IF(B1071&lt;code_Note1!$D$21,"No",IFERROR(VLOOKUP(C1071,code_Note1!$D$3:$G$8,3,FALSE),""))))</f>
        <v>No</v>
      </c>
      <c r="P1071" s="3" t="s">
        <v>833</v>
      </c>
    </row>
    <row r="1072" spans="1:16" ht="19.5" customHeight="1">
      <c r="A1072" s="2" t="s">
        <v>854</v>
      </c>
      <c r="B1072" s="89">
        <v>46151</v>
      </c>
      <c r="C1072" s="1" t="s">
        <v>844</v>
      </c>
      <c r="D1072" s="1" t="s">
        <v>826</v>
      </c>
      <c r="E1072" s="1" t="s">
        <v>82</v>
      </c>
      <c r="F1072" s="20" t="s">
        <v>801</v>
      </c>
      <c r="G1072" s="53">
        <v>0</v>
      </c>
      <c r="H1072" s="52">
        <v>29150</v>
      </c>
      <c r="I1072" s="52"/>
      <c r="J1072" s="86"/>
      <c r="K1072" s="85"/>
      <c r="L1072" s="73"/>
      <c r="M1072" s="73"/>
      <c r="N1072" s="73"/>
      <c r="O1072" s="3" t="str">
        <f>IF(C1072="","",IF(C1072=5,IFERROR(INDEX(code_Note1!$F$13:$F$16,MATCH(E1072,code_Note1!$E$13:$E$16,0)),INDEX(code_Note1!$F$16,1)),IF(B1072&lt;code_Note1!$D$21,"No",IFERROR(VLOOKUP(C1072,code_Note1!$D$3:$G$8,3,FALSE),""))))</f>
        <v>No</v>
      </c>
      <c r="P1072" s="3" t="s">
        <v>833</v>
      </c>
    </row>
    <row r="1073" spans="1:16" ht="19.5" customHeight="1">
      <c r="A1073" s="2" t="s">
        <v>854</v>
      </c>
      <c r="B1073" s="89">
        <v>46151</v>
      </c>
      <c r="C1073" s="1" t="s">
        <v>844</v>
      </c>
      <c r="D1073" s="1" t="s">
        <v>826</v>
      </c>
      <c r="E1073" s="1" t="s">
        <v>82</v>
      </c>
      <c r="F1073" s="8" t="s">
        <v>409</v>
      </c>
      <c r="G1073" s="13">
        <v>300000</v>
      </c>
      <c r="H1073" s="92"/>
      <c r="I1073" s="6"/>
      <c r="J1073" s="7"/>
      <c r="K1073" s="85"/>
      <c r="L1073" s="73"/>
      <c r="M1073" s="73"/>
      <c r="N1073" s="73"/>
      <c r="O1073" s="3" t="str">
        <f>IF(C1073="","",IF(C1073=5,IFERROR(INDEX(code_Note1!$F$13:$F$16,MATCH(E1073,code_Note1!$E$13:$E$16,0)),INDEX(code_Note1!$F$16,1)),IF(B1073&lt;code_Note1!$D$21,"No",IFERROR(VLOOKUP(C1073,code_Note1!$D$3:$G$8,3,FALSE),""))))</f>
        <v>No</v>
      </c>
      <c r="P1073" s="3" t="s">
        <v>833</v>
      </c>
    </row>
    <row r="1074" spans="1:16" ht="19.5" customHeight="1">
      <c r="A1074" s="2" t="s">
        <v>854</v>
      </c>
      <c r="B1074" s="38">
        <v>46151</v>
      </c>
      <c r="C1074" s="1" t="s">
        <v>844</v>
      </c>
      <c r="D1074" s="1" t="s">
        <v>826</v>
      </c>
      <c r="E1074" s="1" t="s">
        <v>21</v>
      </c>
      <c r="F1074" s="8" t="s">
        <v>409</v>
      </c>
      <c r="G1074" s="13">
        <v>900000</v>
      </c>
      <c r="H1074" s="13"/>
      <c r="I1074" s="6"/>
      <c r="J1074" s="7"/>
      <c r="K1074" s="85"/>
      <c r="L1074" s="73"/>
      <c r="M1074" s="73"/>
      <c r="N1074" s="73"/>
      <c r="O1074" s="3" t="str">
        <f>IF(C1074="","",IF(C1074=5,IFERROR(INDEX(code_Note1!$F$13:$F$16,MATCH(E1074,code_Note1!$E$13:$E$16,0)),INDEX(code_Note1!$F$16,1)),IF(B1074&lt;code_Note1!$D$21,"No",IFERROR(VLOOKUP(C1074,code_Note1!$D$3:$G$8,3,FALSE),""))))</f>
        <v>No</v>
      </c>
      <c r="P1074" s="3" t="s">
        <v>833</v>
      </c>
    </row>
    <row r="1075" spans="1:16" ht="19.5" customHeight="1">
      <c r="A1075" s="2" t="s">
        <v>854</v>
      </c>
      <c r="B1075" s="38">
        <v>46155</v>
      </c>
      <c r="C1075" s="1" t="s">
        <v>844</v>
      </c>
      <c r="D1075" s="1" t="s">
        <v>826</v>
      </c>
      <c r="E1075" s="1" t="s">
        <v>46</v>
      </c>
      <c r="F1075" s="9" t="s">
        <v>812</v>
      </c>
      <c r="G1075" s="15">
        <v>6000000</v>
      </c>
      <c r="H1075" s="15"/>
      <c r="I1075" s="6"/>
      <c r="J1075" s="7"/>
      <c r="K1075" s="85"/>
      <c r="L1075" s="73"/>
      <c r="M1075" s="73"/>
      <c r="N1075" s="73"/>
      <c r="O1075" s="3" t="str">
        <f>IF(C1075="","",IF(C1075=5,IFERROR(INDEX(code_Note1!$F$13:$F$16,MATCH(E1075,code_Note1!$E$13:$E$16,0)),INDEX(code_Note1!$F$16,1)),IF(B1075&lt;code_Note1!$D$21,"No",IFERROR(VLOOKUP(C1075,code_Note1!$D$3:$G$8,3,FALSE),""))))</f>
        <v>No</v>
      </c>
      <c r="P1075" s="3" t="s">
        <v>833</v>
      </c>
    </row>
    <row r="1076" spans="1:16" ht="19.5" customHeight="1">
      <c r="A1076" s="2" t="s">
        <v>854</v>
      </c>
      <c r="B1076" s="38">
        <v>46172</v>
      </c>
      <c r="C1076" s="1" t="s">
        <v>844</v>
      </c>
      <c r="D1076" s="1" t="s">
        <v>826</v>
      </c>
      <c r="E1076" s="1" t="s">
        <v>46</v>
      </c>
      <c r="F1076" s="9" t="s">
        <v>813</v>
      </c>
      <c r="G1076" s="15">
        <v>7000000</v>
      </c>
      <c r="H1076" s="6"/>
      <c r="I1076" s="6"/>
      <c r="J1076" s="7"/>
      <c r="K1076" s="85"/>
      <c r="L1076" s="73"/>
      <c r="M1076" s="73"/>
      <c r="N1076" s="73"/>
      <c r="O1076" s="3" t="str">
        <f>IF(C1076="","",IF(C1076=5,IFERROR(INDEX(code_Note1!$F$13:$F$16,MATCH(E1076,code_Note1!$E$13:$E$16,0)),INDEX(code_Note1!$F$16,1)),IF(B1076&lt;code_Note1!$D$21,"No",IFERROR(VLOOKUP(C1076,code_Note1!$D$3:$G$8,3,FALSE),""))))</f>
        <v>No</v>
      </c>
      <c r="P1076" s="3" t="s">
        <v>833</v>
      </c>
    </row>
    <row r="1077" spans="1:16" ht="19.5" customHeight="1">
      <c r="A1077" s="2" t="s">
        <v>854</v>
      </c>
      <c r="B1077" s="38">
        <v>46173</v>
      </c>
      <c r="C1077" s="1" t="s">
        <v>844</v>
      </c>
      <c r="D1077" s="1" t="s">
        <v>826</v>
      </c>
      <c r="E1077" s="1" t="s">
        <v>46</v>
      </c>
      <c r="F1077" s="8" t="s">
        <v>814</v>
      </c>
      <c r="G1077" s="54">
        <v>5500000</v>
      </c>
      <c r="H1077" s="6"/>
      <c r="I1077" s="6"/>
      <c r="J1077" s="7"/>
      <c r="K1077" s="85"/>
      <c r="L1077" s="73"/>
      <c r="M1077" s="73"/>
      <c r="N1077" s="73"/>
      <c r="O1077" s="3" t="str">
        <f>IF(C1077="","",IF(C1077=5,IFERROR(INDEX(code_Note1!$F$13:$F$16,MATCH(E1077,code_Note1!$E$13:$E$16,0)),INDEX(code_Note1!$F$16,1)),IF(B1077&lt;code_Note1!$D$21,"No",IFERROR(VLOOKUP(C1077,code_Note1!$D$3:$G$8,3,FALSE),""))))</f>
        <v>No</v>
      </c>
      <c r="P1077" s="3" t="s">
        <v>833</v>
      </c>
    </row>
    <row r="1078" spans="1:16" ht="19.5" customHeight="1">
      <c r="A1078" s="2" t="s">
        <v>858</v>
      </c>
      <c r="B1078" s="38">
        <v>46175</v>
      </c>
      <c r="C1078" s="1">
        <v>1</v>
      </c>
      <c r="D1078" s="1" t="s">
        <v>824</v>
      </c>
      <c r="E1078" s="1" t="s">
        <v>699</v>
      </c>
      <c r="F1078" s="9" t="s">
        <v>815</v>
      </c>
      <c r="G1078" s="15">
        <v>5700000</v>
      </c>
      <c r="H1078" s="7"/>
      <c r="I1078" s="7"/>
      <c r="J1078" s="7"/>
      <c r="K1078" s="85"/>
      <c r="L1078" s="73"/>
      <c r="M1078" s="73"/>
      <c r="N1078" s="73"/>
      <c r="O1078" s="3" t="str">
        <f>IF(C1078="","",IF(C1078=5,IFERROR(INDEX(code_Note1!$F$13:$F$16,MATCH(E1078,code_Note1!$E$13:$E$16,0)),INDEX(code_Note1!$F$16,1)),IF(B1078&lt;code_Note1!$D$21,"No",IFERROR(VLOOKUP(C1078,code_Note1!$D$3:$G$8,3,FALSE),""))))</f>
        <v>Yes</v>
      </c>
      <c r="P1078" s="3" t="s">
        <v>832</v>
      </c>
    </row>
    <row r="1079" spans="1:16" ht="19.5" customHeight="1">
      <c r="A1079" s="2" t="s">
        <v>858</v>
      </c>
      <c r="B1079" s="38">
        <v>46175</v>
      </c>
      <c r="C1079" s="1">
        <v>1</v>
      </c>
      <c r="D1079" s="1" t="s">
        <v>824</v>
      </c>
      <c r="E1079" s="37" t="s">
        <v>657</v>
      </c>
      <c r="F1079" s="8" t="s">
        <v>761</v>
      </c>
      <c r="G1079" s="55">
        <v>0</v>
      </c>
      <c r="H1079" s="93"/>
      <c r="I1079" s="7"/>
      <c r="J1079" s="7"/>
      <c r="K1079" s="85">
        <v>750000</v>
      </c>
      <c r="L1079" s="73"/>
      <c r="M1079" s="73"/>
      <c r="N1079" s="73"/>
      <c r="O1079" s="3" t="str">
        <f>IF(C1079="","",IF(C1079=5,IFERROR(INDEX(code_Note1!$F$13:$F$16,MATCH(E1079,code_Note1!$E$13:$E$16,0)),INDEX(code_Note1!$F$16,1)),IF(B1079&lt;code_Note1!$D$21,"No",IFERROR(VLOOKUP(C1079,code_Note1!$D$3:$G$8,3,FALSE),""))))</f>
        <v>Yes</v>
      </c>
      <c r="P1079" s="3" t="s">
        <v>832</v>
      </c>
    </row>
    <row r="1080" spans="1:16" ht="19.5" customHeight="1">
      <c r="A1080" s="2" t="s">
        <v>858</v>
      </c>
      <c r="B1080" s="38">
        <v>46177</v>
      </c>
      <c r="C1080" s="1">
        <v>3</v>
      </c>
      <c r="D1080" s="1" t="s">
        <v>823</v>
      </c>
      <c r="E1080" s="1" t="s">
        <v>44</v>
      </c>
      <c r="F1080" s="8" t="s">
        <v>2</v>
      </c>
      <c r="G1080" s="6">
        <v>210000</v>
      </c>
      <c r="H1080" s="7"/>
      <c r="I1080" s="7"/>
      <c r="J1080" s="7"/>
      <c r="K1080" s="85"/>
      <c r="L1080" s="73"/>
      <c r="M1080" s="73"/>
      <c r="N1080" s="73"/>
      <c r="O1080" s="3" t="str">
        <f>IF(C1080="","",IF(C1080=5,IFERROR(INDEX(code_Note1!$F$13:$F$16,MATCH(E1080,code_Note1!$E$13:$E$16,0)),INDEX(code_Note1!$F$16,1)),IF(B1080&lt;code_Note1!$D$21,"No",IFERROR(VLOOKUP(C1080,code_Note1!$D$3:$G$8,3,FALSE),""))))</f>
        <v>yes</v>
      </c>
      <c r="P1080" s="3" t="s">
        <v>832</v>
      </c>
    </row>
    <row r="1081" spans="1:16" ht="19.5" customHeight="1">
      <c r="A1081" s="2" t="s">
        <v>858</v>
      </c>
      <c r="B1081" s="38">
        <v>46177</v>
      </c>
      <c r="C1081" s="1">
        <v>1</v>
      </c>
      <c r="D1081" s="1" t="s">
        <v>824</v>
      </c>
      <c r="E1081" s="37" t="s">
        <v>657</v>
      </c>
      <c r="F1081" s="8" t="s">
        <v>816</v>
      </c>
      <c r="G1081" s="56">
        <v>0</v>
      </c>
      <c r="H1081" s="7"/>
      <c r="I1081" s="7"/>
      <c r="J1081" s="7"/>
      <c r="K1081" s="85">
        <v>50000</v>
      </c>
      <c r="L1081" s="73"/>
      <c r="M1081" s="73"/>
      <c r="N1081" s="73"/>
      <c r="O1081" s="3" t="str">
        <f>IF(C1081="","",IF(C1081=5,IFERROR(INDEX(code_Note1!$F$13:$F$16,MATCH(E1081,code_Note1!$E$13:$E$16,0)),INDEX(code_Note1!$F$16,1)),IF(B1081&lt;code_Note1!$D$21,"No",IFERROR(VLOOKUP(C1081,code_Note1!$D$3:$G$8,3,FALSE),""))))</f>
        <v>Yes</v>
      </c>
      <c r="P1081" s="3" t="s">
        <v>832</v>
      </c>
    </row>
    <row r="1082" spans="1:16" ht="19.5" customHeight="1">
      <c r="A1082" s="2" t="s">
        <v>858</v>
      </c>
      <c r="B1082" s="38">
        <v>46177</v>
      </c>
      <c r="C1082" s="1">
        <v>1</v>
      </c>
      <c r="D1082" s="1" t="s">
        <v>824</v>
      </c>
      <c r="E1082" s="37" t="s">
        <v>657</v>
      </c>
      <c r="F1082" s="8" t="s">
        <v>817</v>
      </c>
      <c r="G1082" s="56">
        <v>0</v>
      </c>
      <c r="H1082" s="7"/>
      <c r="I1082" s="7"/>
      <c r="J1082" s="7"/>
      <c r="K1082" s="85">
        <v>100000</v>
      </c>
      <c r="L1082" s="73"/>
      <c r="M1082" s="73"/>
      <c r="N1082" s="73"/>
      <c r="O1082" s="3" t="str">
        <f>IF(C1082="","",IF(C1082=5,IFERROR(INDEX(code_Note1!$F$13:$F$16,MATCH(E1082,code_Note1!$E$13:$E$16,0)),INDEX(code_Note1!$F$16,1)),IF(B1082&lt;code_Note1!$D$21,"No",IFERROR(VLOOKUP(C1082,code_Note1!$D$3:$G$8,3,FALSE),""))))</f>
        <v>Yes</v>
      </c>
      <c r="P1082" s="3" t="s">
        <v>832</v>
      </c>
    </row>
    <row r="1083" spans="1:16" ht="19.5" customHeight="1">
      <c r="A1083" s="2" t="s">
        <v>858</v>
      </c>
      <c r="B1083" s="94">
        <v>46177</v>
      </c>
      <c r="C1083" s="95">
        <v>1</v>
      </c>
      <c r="D1083" s="1" t="s">
        <v>824</v>
      </c>
      <c r="E1083" s="40" t="s">
        <v>657</v>
      </c>
      <c r="F1083" s="34" t="s">
        <v>818</v>
      </c>
      <c r="G1083" s="57">
        <v>0</v>
      </c>
      <c r="H1083" s="57"/>
      <c r="I1083" s="57"/>
      <c r="J1083" s="57"/>
      <c r="K1083" s="96"/>
      <c r="L1083" s="97"/>
      <c r="M1083" s="97"/>
      <c r="N1083" s="97"/>
      <c r="O1083" s="3" t="str">
        <f>IF(C1083="","",IF(C1083=5,IFERROR(INDEX(code_Note1!$F$13:$F$16,MATCH(E1083,code_Note1!$E$13:$E$16,0)),INDEX(code_Note1!$F$16,1)),IF(B1083&lt;code_Note1!$D$21,"No",IFERROR(VLOOKUP(C1083,code_Note1!$D$3:$G$8,3,FALSE),""))))</f>
        <v>Yes</v>
      </c>
      <c r="P1083" s="3" t="s">
        <v>832</v>
      </c>
    </row>
    <row r="1084" spans="1:16" ht="19.5" customHeight="1">
      <c r="A1084" s="2" t="s">
        <v>858</v>
      </c>
      <c r="B1084" s="38">
        <v>46177</v>
      </c>
      <c r="C1084" s="1">
        <v>3</v>
      </c>
      <c r="D1084" s="1" t="s">
        <v>823</v>
      </c>
      <c r="E1084" s="1" t="s">
        <v>12</v>
      </c>
      <c r="F1084" s="9" t="s">
        <v>819</v>
      </c>
      <c r="G1084" s="7">
        <v>108000</v>
      </c>
      <c r="H1084" s="7"/>
      <c r="I1084" s="7"/>
      <c r="J1084" s="7"/>
      <c r="K1084" s="85"/>
      <c r="L1084" s="73"/>
      <c r="M1084" s="73"/>
      <c r="N1084" s="73"/>
      <c r="O1084" s="3" t="str">
        <f>IF(C1084="","",IF(C1084=5,IFERROR(INDEX(code_Note1!$F$13:$F$16,MATCH(E1084,code_Note1!$E$13:$E$16,0)),INDEX(code_Note1!$F$16,1)),IF(B1084&lt;code_Note1!$D$21,"No",IFERROR(VLOOKUP(C1084,code_Note1!$D$3:$G$8,3,FALSE),""))))</f>
        <v>yes</v>
      </c>
      <c r="P1084" s="3" t="s">
        <v>832</v>
      </c>
    </row>
    <row r="1085" spans="1:16" ht="19.5" customHeight="1">
      <c r="B1085" s="24"/>
      <c r="C1085" s="17"/>
      <c r="D1085" s="17"/>
      <c r="E1085" s="3"/>
      <c r="F1085" s="3"/>
      <c r="G1085" s="3"/>
      <c r="H1085" s="3"/>
      <c r="I1085" s="22"/>
      <c r="J1085" s="4"/>
      <c r="K1085" s="4"/>
      <c r="L1085" s="4"/>
      <c r="M1085" s="4"/>
      <c r="N1085" s="4"/>
      <c r="O1085" s="24"/>
      <c r="P1085" s="24"/>
    </row>
    <row r="1086" spans="1:16" ht="19.5" customHeight="1">
      <c r="B1086" s="3"/>
      <c r="C1086" s="59"/>
      <c r="D1086" s="59"/>
      <c r="E1086" s="3"/>
      <c r="F1086" s="21"/>
      <c r="G1086" s="3"/>
      <c r="H1086" s="3"/>
      <c r="I1086" s="22"/>
      <c r="J1086" s="4"/>
      <c r="K1086" s="4"/>
      <c r="L1086" s="4"/>
      <c r="M1086" s="4"/>
      <c r="N1086" s="4"/>
      <c r="O1086" s="24"/>
      <c r="P1086" s="24"/>
    </row>
    <row r="1087" spans="1:16" ht="19.5" customHeight="1">
      <c r="B1087" s="3"/>
      <c r="C1087" s="3"/>
      <c r="D1087" s="3"/>
      <c r="E1087" s="3"/>
      <c r="F1087" s="21"/>
      <c r="G1087" s="3"/>
      <c r="H1087" s="3"/>
      <c r="I1087" s="22"/>
      <c r="J1087" s="4"/>
      <c r="K1087" s="4"/>
      <c r="L1087" s="4"/>
      <c r="M1087" s="22"/>
      <c r="N1087" s="4"/>
      <c r="O1087" s="24"/>
      <c r="P1087" s="24"/>
    </row>
    <row r="1088" spans="1:16" ht="19.5" customHeight="1">
      <c r="B1088" s="3"/>
      <c r="C1088" s="3"/>
      <c r="D1088" s="3"/>
      <c r="E1088" s="3"/>
      <c r="F1088" s="21"/>
      <c r="G1088" s="22"/>
      <c r="H1088" s="22"/>
      <c r="I1088" s="22"/>
      <c r="J1088" s="4"/>
      <c r="K1088" s="4"/>
      <c r="L1088" s="4"/>
      <c r="M1088" s="4"/>
      <c r="N1088" s="4"/>
      <c r="O1088" s="24"/>
      <c r="P1088" s="24"/>
    </row>
    <row r="1089" spans="2:16" ht="19.5" customHeight="1">
      <c r="B1089" s="17"/>
      <c r="C1089" s="3"/>
      <c r="D1089" s="3"/>
      <c r="E1089" s="3"/>
      <c r="F1089" s="22"/>
      <c r="G1089" s="22"/>
      <c r="H1089" s="22"/>
      <c r="I1089" s="22"/>
      <c r="J1089" s="4"/>
      <c r="K1089" s="4"/>
      <c r="L1089" s="4"/>
      <c r="M1089" s="4"/>
      <c r="N1089" s="4"/>
      <c r="O1089" s="3"/>
      <c r="P1089" s="3"/>
    </row>
    <row r="1090" spans="2:16" ht="19.5" customHeight="1">
      <c r="B1090" s="3"/>
      <c r="C1090" s="3"/>
      <c r="D1090" s="3"/>
      <c r="E1090" s="3"/>
      <c r="F1090" s="21"/>
      <c r="G1090" s="22"/>
      <c r="H1090" s="22"/>
      <c r="I1090" s="22"/>
      <c r="J1090" s="4"/>
      <c r="K1090" s="4"/>
      <c r="L1090" s="4"/>
      <c r="M1090" s="4"/>
      <c r="N1090" s="4"/>
      <c r="O1090" s="3"/>
      <c r="P1090" s="3"/>
    </row>
    <row r="1091" spans="2:16" ht="19.5" customHeight="1">
      <c r="B1091" s="3"/>
      <c r="C1091" s="3"/>
      <c r="D1091" s="3"/>
      <c r="E1091" s="3"/>
      <c r="F1091" s="21"/>
      <c r="G1091" s="22"/>
      <c r="H1091" s="22"/>
      <c r="I1091" s="22"/>
      <c r="J1091" s="4"/>
      <c r="K1091" s="4"/>
      <c r="L1091" s="4"/>
      <c r="M1091" s="4"/>
      <c r="N1091" s="4"/>
      <c r="O1091" s="3"/>
      <c r="P1091" s="3"/>
    </row>
    <row r="1092" spans="2:16" ht="19.5" customHeight="1">
      <c r="B1092" s="3"/>
      <c r="C1092" s="3"/>
      <c r="D1092" s="3"/>
      <c r="E1092" s="3"/>
      <c r="F1092" s="3"/>
      <c r="G1092" s="22"/>
      <c r="H1092" s="22"/>
      <c r="I1092" s="22"/>
      <c r="J1092" s="4"/>
      <c r="K1092" s="4"/>
      <c r="L1092" s="4"/>
      <c r="M1092" s="4"/>
      <c r="N1092" s="4"/>
      <c r="O1092" s="3"/>
      <c r="P1092" s="3"/>
    </row>
    <row r="1093" spans="2:16" ht="19.5" customHeight="1">
      <c r="B1093" s="3"/>
      <c r="C1093" s="3"/>
      <c r="D1093" s="3"/>
      <c r="E1093" s="3"/>
      <c r="F1093" s="3"/>
      <c r="G1093" s="22"/>
      <c r="H1093" s="22"/>
      <c r="I1093" s="22"/>
      <c r="J1093" s="4"/>
      <c r="K1093" s="4"/>
      <c r="L1093" s="4"/>
      <c r="M1093" s="4"/>
      <c r="N1093" s="4"/>
      <c r="O1093" s="3"/>
      <c r="P1093" s="3"/>
    </row>
    <row r="1094" spans="2:16" ht="19.5" customHeight="1">
      <c r="B1094" s="3"/>
      <c r="C1094" s="3"/>
      <c r="D1094" s="3"/>
      <c r="E1094" s="3"/>
      <c r="F1094" s="17"/>
      <c r="G1094" s="22"/>
      <c r="H1094" s="4"/>
      <c r="I1094" s="4"/>
      <c r="J1094" s="4"/>
      <c r="K1094" s="4"/>
      <c r="L1094" s="4"/>
      <c r="M1094" s="4"/>
      <c r="N1094" s="4"/>
      <c r="O1094" s="3"/>
      <c r="P1094" s="3"/>
    </row>
    <row r="1095" spans="2:16" ht="19.5" customHeight="1">
      <c r="B1095" s="3"/>
      <c r="C1095" s="3"/>
      <c r="D1095" s="3"/>
      <c r="E1095" s="3"/>
      <c r="F1095" s="17"/>
      <c r="G1095" s="22"/>
      <c r="H1095" s="22"/>
      <c r="I1095" s="22"/>
      <c r="J1095" s="22"/>
      <c r="K1095" s="22"/>
      <c r="L1095" s="22"/>
      <c r="M1095" s="22"/>
      <c r="N1095" s="22"/>
      <c r="O1095" s="3"/>
      <c r="P1095" s="3"/>
    </row>
    <row r="1096" spans="2:16" ht="19.5" customHeight="1">
      <c r="B1096" s="24"/>
      <c r="C1096" s="4"/>
      <c r="D1096" s="4"/>
      <c r="E1096" s="3"/>
      <c r="F1096" s="17"/>
      <c r="G1096" s="22"/>
      <c r="H1096" s="22"/>
      <c r="I1096" s="22"/>
      <c r="J1096" s="4"/>
      <c r="K1096" s="4"/>
      <c r="L1096" s="4"/>
      <c r="M1096" s="4"/>
      <c r="N1096" s="4"/>
      <c r="O1096" s="24"/>
      <c r="P1096" s="24"/>
    </row>
    <row r="1097" spans="2:16" ht="19.5" customHeight="1">
      <c r="B1097" s="24"/>
      <c r="C1097" s="3"/>
      <c r="D1097" s="3"/>
      <c r="E1097" s="3"/>
      <c r="F1097" s="3"/>
      <c r="G1097" s="22"/>
      <c r="H1097" s="22"/>
      <c r="I1097" s="22"/>
      <c r="J1097" s="4"/>
      <c r="K1097" s="4"/>
      <c r="L1097" s="4"/>
      <c r="M1097" s="4"/>
      <c r="N1097" s="4"/>
      <c r="O1097" s="24"/>
      <c r="P1097" s="24"/>
    </row>
    <row r="1098" spans="2:16" ht="19.5" customHeight="1">
      <c r="B1098" s="24"/>
      <c r="C1098" s="3"/>
      <c r="D1098" s="3"/>
      <c r="E1098" s="3"/>
      <c r="F1098" s="3"/>
      <c r="G1098" s="22"/>
      <c r="H1098" s="22"/>
      <c r="I1098" s="22"/>
      <c r="J1098" s="4"/>
      <c r="K1098" s="4"/>
      <c r="L1098" s="4"/>
      <c r="M1098" s="4"/>
      <c r="N1098" s="4"/>
      <c r="O1098" s="24"/>
      <c r="P1098" s="24"/>
    </row>
    <row r="1099" spans="2:16" ht="19.5" customHeight="1">
      <c r="B1099" s="3"/>
      <c r="C1099" s="3"/>
      <c r="D1099" s="3"/>
      <c r="E1099" s="3"/>
      <c r="F1099" s="3"/>
      <c r="G1099" s="22"/>
      <c r="H1099" s="22"/>
      <c r="I1099" s="22"/>
      <c r="J1099" s="4"/>
      <c r="K1099" s="3"/>
      <c r="L1099" s="3"/>
      <c r="M1099" s="3"/>
      <c r="N1099" s="3"/>
      <c r="O1099" s="3"/>
      <c r="P1099" s="3"/>
    </row>
    <row r="1100" spans="2:16" ht="19.5" customHeight="1">
      <c r="B1100" s="23"/>
      <c r="C1100" s="3"/>
      <c r="D1100" s="3"/>
      <c r="E1100" s="3"/>
      <c r="F1100" s="23"/>
      <c r="G1100" s="22"/>
      <c r="H1100" s="22"/>
      <c r="I1100" s="22"/>
      <c r="J1100" s="4"/>
      <c r="K1100" s="4"/>
      <c r="L1100" s="4"/>
      <c r="M1100" s="4"/>
      <c r="N1100" s="4"/>
      <c r="O1100" s="23"/>
      <c r="P1100" s="23"/>
    </row>
    <row r="1101" spans="2:16" ht="19.5" customHeight="1">
      <c r="B1101" s="24"/>
      <c r="C1101" s="3"/>
      <c r="D1101" s="3"/>
      <c r="E1101" s="3"/>
      <c r="F1101" s="3"/>
      <c r="G1101" s="22"/>
      <c r="H1101" s="22"/>
      <c r="I1101" s="22"/>
      <c r="J1101" s="4"/>
      <c r="K1101" s="4"/>
      <c r="L1101" s="4"/>
      <c r="M1101" s="4"/>
      <c r="N1101" s="3"/>
      <c r="O1101" s="3"/>
      <c r="P1101" s="3"/>
    </row>
    <row r="1102" spans="2:16" ht="19.5" customHeight="1">
      <c r="B1102" s="24"/>
      <c r="E1102" s="3"/>
      <c r="F1102" s="3"/>
      <c r="G1102" s="22"/>
      <c r="H1102" s="22"/>
      <c r="I1102" s="22"/>
      <c r="J1102" s="4"/>
      <c r="K1102" s="4"/>
      <c r="L1102" s="4"/>
      <c r="M1102" s="4"/>
      <c r="N1102" s="4"/>
      <c r="O1102" s="3"/>
      <c r="P1102" s="3"/>
    </row>
    <row r="1103" spans="2:16" ht="19.5" customHeight="1">
      <c r="B1103" s="24"/>
      <c r="C1103" s="3"/>
      <c r="D1103" s="3"/>
      <c r="E1103" s="3"/>
      <c r="F1103" s="3"/>
      <c r="G1103" s="22"/>
      <c r="H1103" s="22"/>
      <c r="I1103" s="22"/>
      <c r="J1103" s="4"/>
      <c r="K1103" s="3"/>
      <c r="L1103" s="3"/>
      <c r="M1103" s="3"/>
      <c r="O1103" s="3"/>
      <c r="P1103" s="3"/>
    </row>
    <row r="1104" spans="2:16" ht="19.5" customHeight="1">
      <c r="B1104" s="3"/>
      <c r="C1104" s="3"/>
      <c r="D1104" s="3"/>
      <c r="E1104" s="3"/>
      <c r="F1104" s="3"/>
      <c r="G1104" s="22"/>
      <c r="H1104" s="22"/>
      <c r="I1104" s="22"/>
      <c r="J1104" s="4"/>
      <c r="K1104" s="3"/>
      <c r="L1104" s="3"/>
      <c r="M1104" s="3"/>
      <c r="N1104" s="3"/>
      <c r="O1104" s="3"/>
      <c r="P1104" s="3"/>
    </row>
    <row r="1105" spans="2:16" ht="19.5" customHeight="1">
      <c r="B1105" s="24"/>
      <c r="C1105" s="3"/>
      <c r="D1105" s="3"/>
      <c r="E1105" s="22"/>
      <c r="F1105" s="3"/>
      <c r="G1105" s="22"/>
      <c r="H1105" s="22"/>
      <c r="I1105" s="22"/>
      <c r="J1105" s="4"/>
      <c r="K1105" s="4"/>
      <c r="L1105" s="4"/>
      <c r="M1105" s="4"/>
      <c r="N1105" s="4"/>
      <c r="O1105" s="3"/>
      <c r="P1105" s="3"/>
    </row>
    <row r="1106" spans="2:16" ht="19.5" customHeight="1">
      <c r="B1106" s="24"/>
      <c r="C1106" s="3"/>
      <c r="D1106" s="3"/>
      <c r="E1106" s="3"/>
      <c r="F1106" s="3"/>
      <c r="G1106" s="22"/>
      <c r="H1106" s="22"/>
      <c r="I1106" s="22"/>
      <c r="J1106" s="4"/>
      <c r="K1106" s="4"/>
      <c r="L1106" s="4"/>
      <c r="M1106" s="4"/>
      <c r="N1106" s="4"/>
      <c r="O1106" s="3"/>
      <c r="P1106" s="3"/>
    </row>
    <row r="1107" spans="2:16" ht="19.5" customHeight="1">
      <c r="B1107" s="24"/>
      <c r="C1107" s="3"/>
      <c r="D1107" s="3"/>
      <c r="E1107" s="3"/>
      <c r="F1107" s="3"/>
      <c r="G1107" s="22"/>
      <c r="H1107" s="3"/>
      <c r="I1107" s="3"/>
      <c r="J1107" s="4"/>
      <c r="K1107" s="4"/>
      <c r="L1107" s="4"/>
      <c r="M1107" s="4"/>
      <c r="N1107" s="4"/>
      <c r="O1107" s="3"/>
      <c r="P1107" s="3"/>
    </row>
    <row r="1108" spans="2:16" ht="19.5" customHeight="1">
      <c r="B1108" s="24"/>
      <c r="C1108" s="3"/>
      <c r="D1108" s="3"/>
      <c r="E1108" s="3"/>
      <c r="F1108" s="3"/>
      <c r="G1108" s="22"/>
      <c r="H1108" s="22"/>
      <c r="I1108" s="22"/>
      <c r="J1108" s="4"/>
      <c r="K1108" s="4"/>
      <c r="L1108" s="4"/>
      <c r="M1108" s="4"/>
      <c r="N1108" s="4"/>
      <c r="O1108" s="3"/>
      <c r="P1108" s="3"/>
    </row>
    <row r="1109" spans="2:16" ht="19.5" customHeight="1">
      <c r="B1109" s="24"/>
      <c r="C1109" s="3"/>
      <c r="D1109" s="3"/>
      <c r="E1109" s="22"/>
      <c r="F1109" s="3"/>
      <c r="G1109" s="22"/>
      <c r="H1109" s="22"/>
      <c r="I1109" s="22"/>
      <c r="J1109" s="4"/>
      <c r="K1109" s="4"/>
      <c r="L1109" s="4"/>
      <c r="M1109" s="4"/>
      <c r="N1109" s="4"/>
      <c r="O1109" s="3"/>
      <c r="P1109" s="3"/>
    </row>
    <row r="1110" spans="2:16" ht="19.5" customHeight="1">
      <c r="B1110" s="24"/>
      <c r="C1110" s="3"/>
      <c r="D1110" s="3"/>
      <c r="E1110" s="22"/>
      <c r="F1110" s="3"/>
      <c r="G1110" s="22"/>
      <c r="H1110" s="22"/>
      <c r="I1110" s="22"/>
      <c r="J1110" s="4"/>
      <c r="K1110" s="4"/>
      <c r="L1110" s="4"/>
      <c r="M1110" s="4"/>
      <c r="N1110" s="4"/>
      <c r="O1110" s="3"/>
      <c r="P1110" s="3"/>
    </row>
    <row r="1111" spans="2:16" ht="19.5" customHeight="1">
      <c r="B1111" s="24"/>
      <c r="C1111" s="3"/>
      <c r="D1111" s="3"/>
      <c r="E1111" s="22"/>
      <c r="F1111" s="22"/>
      <c r="G1111" s="22"/>
      <c r="H1111" s="22"/>
      <c r="I1111" s="22"/>
      <c r="J1111" s="4"/>
      <c r="K1111" s="4"/>
      <c r="L1111" s="4"/>
      <c r="M1111" s="4"/>
      <c r="N1111" s="4"/>
      <c r="O1111" s="3"/>
      <c r="P1111" s="3"/>
    </row>
    <row r="1112" spans="2:16" ht="19.5" customHeight="1">
      <c r="B1112" s="24"/>
      <c r="C1112" s="3"/>
      <c r="D1112" s="3"/>
      <c r="E1112" s="3"/>
      <c r="F1112" s="3"/>
      <c r="G1112" s="22"/>
      <c r="H1112" s="22"/>
      <c r="I1112" s="22"/>
      <c r="J1112" s="4"/>
      <c r="K1112" s="4"/>
      <c r="L1112" s="4"/>
      <c r="M1112" s="4"/>
      <c r="N1112" s="4"/>
      <c r="O1112" s="3"/>
      <c r="P1112" s="3"/>
    </row>
    <row r="1113" spans="2:16" ht="19.5" customHeight="1">
      <c r="B1113" s="24"/>
      <c r="C1113" s="3"/>
      <c r="D1113" s="3"/>
      <c r="E1113" s="3"/>
      <c r="F1113" s="3"/>
      <c r="G1113" s="22"/>
      <c r="H1113" s="22"/>
      <c r="I1113" s="22"/>
      <c r="J1113" s="4"/>
      <c r="K1113" s="4"/>
      <c r="L1113" s="4"/>
      <c r="M1113" s="4"/>
      <c r="N1113" s="4"/>
      <c r="O1113" s="3"/>
      <c r="P1113" s="3"/>
    </row>
    <row r="1114" spans="2:16" ht="19.5" customHeight="1">
      <c r="B1114" s="24"/>
      <c r="C1114" s="3"/>
      <c r="D1114" s="3"/>
      <c r="E1114" s="3"/>
      <c r="F1114" s="3"/>
      <c r="G1114" s="22"/>
      <c r="H1114" s="22"/>
      <c r="I1114" s="22"/>
      <c r="J1114" s="4"/>
      <c r="K1114" s="4"/>
      <c r="L1114" s="4"/>
      <c r="M1114" s="4"/>
      <c r="N1114" s="4"/>
      <c r="O1114" s="3"/>
      <c r="P1114" s="3"/>
    </row>
    <row r="1115" spans="2:16" ht="19.5" customHeight="1">
      <c r="B1115" s="3"/>
      <c r="C1115" s="3"/>
      <c r="D1115" s="3"/>
      <c r="E1115" s="3"/>
      <c r="F1115" s="3"/>
      <c r="G1115" s="22"/>
      <c r="H1115" s="22"/>
      <c r="I1115" s="22"/>
      <c r="J1115" s="4"/>
      <c r="K1115" s="4"/>
      <c r="L1115" s="4"/>
      <c r="M1115" s="4"/>
      <c r="N1115" s="4"/>
      <c r="O1115" s="3"/>
      <c r="P1115" s="3"/>
    </row>
    <row r="1116" spans="2:16" ht="19.5" customHeight="1">
      <c r="B1116" s="24"/>
      <c r="C1116" s="3"/>
      <c r="D1116" s="3"/>
      <c r="E1116" s="3"/>
      <c r="F1116" s="3"/>
      <c r="G1116" s="22"/>
      <c r="H1116" s="22"/>
      <c r="I1116" s="22"/>
      <c r="J1116" s="4"/>
      <c r="K1116" s="4"/>
      <c r="L1116" s="4"/>
      <c r="M1116" s="4"/>
      <c r="N1116" s="4"/>
      <c r="O1116" s="3"/>
      <c r="P1116" s="3"/>
    </row>
    <row r="1117" spans="2:16" ht="19.5" customHeight="1">
      <c r="B1117" s="24"/>
      <c r="C1117" s="3"/>
      <c r="D1117" s="3"/>
      <c r="E1117" s="22"/>
      <c r="F1117" s="3"/>
      <c r="G1117" s="22"/>
      <c r="H1117" s="22"/>
      <c r="I1117" s="3"/>
      <c r="J1117" s="4"/>
      <c r="K1117" s="4"/>
      <c r="L1117" s="4"/>
      <c r="M1117" s="4"/>
      <c r="N1117" s="4"/>
      <c r="O1117" s="3"/>
      <c r="P1117" s="3"/>
    </row>
    <row r="1118" spans="2:16" ht="19.5" customHeight="1">
      <c r="B1118" s="3"/>
      <c r="C1118" s="3"/>
      <c r="D1118" s="3"/>
      <c r="E1118" s="22"/>
      <c r="F1118" s="3"/>
      <c r="G1118" s="22"/>
      <c r="H1118" s="22"/>
      <c r="I1118" s="3"/>
      <c r="J1118" s="4"/>
      <c r="K1118" s="4"/>
      <c r="L1118" s="4"/>
      <c r="M1118" s="4"/>
      <c r="N1118" s="4"/>
      <c r="O1118" s="3"/>
      <c r="P1118" s="3"/>
    </row>
    <row r="1119" spans="2:16" ht="19.5" customHeight="1">
      <c r="B1119" s="24"/>
      <c r="C1119" s="3"/>
      <c r="D1119" s="3"/>
      <c r="E1119" s="22"/>
      <c r="F1119" s="3"/>
      <c r="G1119" s="22"/>
      <c r="H1119" s="22"/>
      <c r="I1119" s="22"/>
      <c r="J1119" s="4"/>
      <c r="K1119" s="4"/>
      <c r="L1119" s="4"/>
      <c r="M1119" s="4"/>
      <c r="N1119" s="4"/>
      <c r="O1119" s="3"/>
      <c r="P1119" s="3"/>
    </row>
    <row r="1120" spans="2:16" ht="19.5" customHeight="1">
      <c r="B1120" s="3"/>
      <c r="C1120" s="3"/>
      <c r="D1120" s="3"/>
      <c r="E1120" s="22"/>
      <c r="F1120" s="3"/>
      <c r="G1120" s="22"/>
      <c r="H1120" s="3"/>
      <c r="I1120" s="3"/>
      <c r="J1120" s="4"/>
      <c r="K1120" s="4"/>
      <c r="L1120" s="4"/>
      <c r="M1120" s="4"/>
      <c r="N1120" s="4"/>
      <c r="O1120" s="3"/>
      <c r="P1120" s="3"/>
    </row>
    <row r="1121" spans="2:16" ht="19.5" customHeight="1">
      <c r="B1121" s="24"/>
      <c r="C1121" s="3"/>
      <c r="D1121" s="3"/>
      <c r="E1121" s="3"/>
      <c r="F1121" s="3"/>
      <c r="G1121" s="22"/>
      <c r="H1121" s="3"/>
      <c r="I1121" s="3"/>
      <c r="J1121" s="4"/>
      <c r="K1121" s="4"/>
      <c r="L1121" s="4"/>
      <c r="M1121" s="4"/>
      <c r="N1121" s="4"/>
      <c r="O1121" s="3"/>
      <c r="P1121" s="3"/>
    </row>
    <row r="1122" spans="2:16" ht="19.5" customHeight="1">
      <c r="B1122" s="3"/>
      <c r="C1122" s="3"/>
      <c r="D1122" s="3"/>
      <c r="E1122" s="3"/>
      <c r="F1122" s="3"/>
      <c r="G1122" s="22"/>
      <c r="H1122" s="3"/>
      <c r="I1122" s="3"/>
      <c r="J1122" s="4"/>
      <c r="K1122" s="4"/>
      <c r="L1122" s="4"/>
      <c r="M1122" s="4"/>
      <c r="N1122" s="4"/>
      <c r="O1122" s="3"/>
      <c r="P1122" s="3"/>
    </row>
    <row r="1123" spans="2:16" ht="19.5" customHeight="1">
      <c r="B1123" s="24"/>
      <c r="C1123" s="3"/>
      <c r="D1123" s="3"/>
      <c r="E1123" s="22"/>
      <c r="F1123" s="3"/>
      <c r="G1123" s="22"/>
      <c r="H1123" s="3"/>
      <c r="I1123" s="3"/>
      <c r="J1123" s="4"/>
      <c r="K1123" s="4"/>
      <c r="L1123" s="4"/>
      <c r="M1123" s="4"/>
      <c r="N1123" s="4"/>
      <c r="O1123" s="3"/>
      <c r="P1123" s="3"/>
    </row>
    <row r="1124" spans="2:16" ht="19.5" customHeight="1">
      <c r="B1124" s="24"/>
      <c r="C1124" s="3"/>
      <c r="D1124" s="3"/>
      <c r="E1124" s="3"/>
      <c r="F1124" s="3"/>
      <c r="G1124" s="22"/>
      <c r="H1124" s="3"/>
      <c r="I1124" s="3"/>
      <c r="J1124" s="4"/>
      <c r="K1124" s="4"/>
      <c r="L1124" s="4"/>
      <c r="M1124" s="4"/>
      <c r="N1124" s="4"/>
      <c r="O1124" s="3"/>
      <c r="P1124" s="3"/>
    </row>
    <row r="1125" spans="2:16" ht="19.5" customHeight="1">
      <c r="B1125" s="3"/>
      <c r="C1125" s="3"/>
      <c r="D1125" s="3"/>
      <c r="E1125" s="3"/>
      <c r="F1125" s="3"/>
      <c r="G1125" s="22"/>
      <c r="H1125" s="3"/>
      <c r="I1125" s="3"/>
      <c r="J1125" s="4"/>
      <c r="K1125" s="4"/>
      <c r="L1125" s="4"/>
      <c r="M1125" s="4"/>
      <c r="N1125" s="4"/>
      <c r="O1125" s="3"/>
      <c r="P1125" s="3"/>
    </row>
    <row r="1126" spans="2:16" ht="19.5" customHeight="1">
      <c r="B1126" s="24"/>
      <c r="C1126" s="3"/>
      <c r="D1126" s="3"/>
      <c r="E1126" s="3"/>
      <c r="F1126" s="3"/>
      <c r="G1126" s="22"/>
      <c r="H1126" s="3"/>
      <c r="I1126" s="3"/>
      <c r="J1126" s="4"/>
      <c r="K1126" s="4"/>
      <c r="L1126" s="4"/>
      <c r="M1126" s="4"/>
      <c r="N1126" s="4"/>
      <c r="O1126" s="3"/>
      <c r="P1126" s="3"/>
    </row>
    <row r="1127" spans="2:16" ht="19.5" customHeight="1">
      <c r="B1127" s="24"/>
      <c r="C1127" s="3"/>
      <c r="D1127" s="3"/>
      <c r="E1127" s="3"/>
      <c r="F1127" s="22"/>
      <c r="G1127" s="22"/>
      <c r="H1127" s="3"/>
      <c r="I1127" s="3"/>
      <c r="J1127" s="4"/>
      <c r="K1127" s="4"/>
      <c r="L1127" s="4"/>
      <c r="M1127" s="4"/>
      <c r="N1127" s="4"/>
      <c r="O1127" s="3"/>
      <c r="P1127" s="3"/>
    </row>
    <row r="1128" spans="2:16" ht="19.5" customHeight="1">
      <c r="B1128" s="24"/>
      <c r="C1128" s="3"/>
      <c r="D1128" s="3"/>
      <c r="E1128" s="3"/>
      <c r="F1128" s="3"/>
      <c r="G1128" s="22"/>
      <c r="H1128" s="22"/>
      <c r="I1128" s="3"/>
      <c r="J1128" s="4"/>
      <c r="K1128" s="4"/>
      <c r="L1128" s="4"/>
      <c r="M1128" s="4"/>
      <c r="N1128" s="4"/>
      <c r="O1128" s="3"/>
      <c r="P1128" s="3"/>
    </row>
    <row r="1129" spans="2:16" ht="19.5" customHeight="1">
      <c r="B1129" s="24"/>
      <c r="C1129" s="3"/>
      <c r="D1129" s="3"/>
      <c r="E1129" s="22"/>
      <c r="F1129" s="22"/>
      <c r="G1129" s="22"/>
      <c r="H1129" s="3"/>
      <c r="I1129" s="3"/>
      <c r="J1129" s="4"/>
      <c r="K1129" s="4"/>
      <c r="L1129" s="4"/>
      <c r="M1129" s="4"/>
      <c r="N1129" s="4"/>
      <c r="O1129" s="3"/>
      <c r="P1129" s="3"/>
    </row>
    <row r="1130" spans="2:16" ht="19.5" customHeight="1">
      <c r="B1130" s="24"/>
      <c r="C1130" s="3"/>
      <c r="D1130" s="3"/>
      <c r="E1130" s="22"/>
      <c r="F1130" s="22"/>
      <c r="G1130" s="22"/>
      <c r="H1130" s="3"/>
      <c r="I1130" s="3"/>
      <c r="J1130" s="4"/>
      <c r="K1130" s="4"/>
      <c r="L1130" s="4"/>
      <c r="M1130" s="4"/>
      <c r="N1130" s="4"/>
      <c r="O1130" s="3"/>
      <c r="P1130" s="3"/>
    </row>
    <row r="1131" spans="2:16" ht="19.5" customHeight="1">
      <c r="B1131" s="3"/>
      <c r="C1131" s="3"/>
      <c r="D1131" s="3"/>
      <c r="E1131" s="3"/>
      <c r="F1131" s="3"/>
      <c r="G1131" s="22"/>
      <c r="H1131" s="3"/>
      <c r="I1131" s="3"/>
      <c r="J1131" s="4"/>
      <c r="K1131" s="4"/>
      <c r="L1131" s="4"/>
      <c r="M1131" s="4"/>
      <c r="N1131" s="4"/>
      <c r="O1131" s="3"/>
      <c r="P1131" s="3"/>
    </row>
    <row r="1132" spans="2:16" ht="19.5" customHeight="1">
      <c r="B1132" s="24"/>
      <c r="C1132" s="3"/>
      <c r="D1132" s="3"/>
      <c r="E1132" s="3"/>
      <c r="F1132" s="3"/>
      <c r="G1132" s="22"/>
      <c r="H1132" s="3"/>
      <c r="I1132" s="22"/>
      <c r="J1132" s="4"/>
      <c r="K1132" s="4"/>
      <c r="L1132" s="4"/>
      <c r="M1132" s="4"/>
      <c r="N1132" s="4"/>
      <c r="O1132" s="3"/>
      <c r="P1132" s="3"/>
    </row>
    <row r="1133" spans="2:16" ht="19.5" customHeight="1">
      <c r="B1133" s="24"/>
      <c r="C1133" s="3"/>
      <c r="D1133" s="3"/>
      <c r="E1133" s="22"/>
      <c r="F1133" s="3"/>
      <c r="G1133" s="22"/>
      <c r="H1133" s="22"/>
      <c r="I1133" s="22"/>
      <c r="J1133" s="4"/>
      <c r="K1133" s="4"/>
      <c r="L1133" s="4"/>
      <c r="M1133" s="4"/>
      <c r="N1133" s="4"/>
      <c r="O1133" s="3"/>
      <c r="P1133" s="3"/>
    </row>
    <row r="1134" spans="2:16" ht="19.5" customHeight="1">
      <c r="B1134" s="24"/>
      <c r="C1134" s="3"/>
      <c r="D1134" s="3"/>
      <c r="E1134" s="22"/>
      <c r="F1134" s="3"/>
      <c r="G1134" s="22"/>
      <c r="H1134" s="22"/>
      <c r="I1134" s="22"/>
      <c r="J1134" s="4"/>
      <c r="K1134" s="4"/>
      <c r="L1134" s="4"/>
      <c r="M1134" s="4"/>
      <c r="N1134" s="4"/>
      <c r="O1134" s="3"/>
      <c r="P1134" s="3"/>
    </row>
    <row r="1135" spans="2:16" ht="19.5" customHeight="1">
      <c r="B1135" s="3"/>
      <c r="C1135" s="3"/>
      <c r="D1135" s="3"/>
      <c r="E1135" s="3"/>
      <c r="F1135" s="3"/>
      <c r="G1135" s="22"/>
      <c r="H1135" s="22"/>
      <c r="I1135" s="22"/>
      <c r="J1135" s="4"/>
      <c r="K1135" s="4"/>
      <c r="L1135" s="4"/>
      <c r="M1135" s="4"/>
      <c r="N1135" s="4"/>
      <c r="O1135" s="3"/>
      <c r="P1135" s="3"/>
    </row>
    <row r="1136" spans="2:16" ht="19.5" customHeight="1">
      <c r="B1136" s="24"/>
      <c r="C1136" s="3"/>
      <c r="D1136" s="3"/>
      <c r="E1136" s="3"/>
      <c r="F1136" s="3"/>
      <c r="G1136" s="22"/>
      <c r="H1136" s="22"/>
      <c r="I1136" s="22"/>
      <c r="J1136" s="4"/>
      <c r="K1136" s="4"/>
      <c r="L1136" s="4"/>
      <c r="M1136" s="4"/>
      <c r="N1136" s="4"/>
      <c r="O1136" s="3"/>
      <c r="P1136" s="3"/>
    </row>
    <row r="1137" spans="2:16" ht="19.5" customHeight="1">
      <c r="B1137" s="24"/>
      <c r="C1137" s="3"/>
      <c r="D1137" s="3"/>
      <c r="E1137" s="22"/>
      <c r="F1137" s="3"/>
      <c r="G1137" s="22"/>
      <c r="H1137" s="22"/>
      <c r="I1137" s="22"/>
      <c r="J1137" s="4"/>
      <c r="K1137" s="4"/>
      <c r="L1137" s="4"/>
      <c r="M1137" s="4"/>
      <c r="N1137" s="4"/>
      <c r="O1137" s="3"/>
      <c r="P1137" s="3"/>
    </row>
    <row r="1138" spans="2:16" ht="19.5" customHeight="1">
      <c r="B1138" s="98"/>
      <c r="C1138" s="3"/>
      <c r="D1138" s="3"/>
      <c r="E1138" s="22"/>
      <c r="F1138" s="3"/>
      <c r="G1138" s="22"/>
      <c r="H1138" s="22"/>
      <c r="I1138" s="22"/>
      <c r="J1138" s="4"/>
      <c r="K1138" s="4"/>
      <c r="L1138" s="4"/>
      <c r="M1138" s="4"/>
      <c r="N1138" s="4"/>
      <c r="O1138" s="3"/>
      <c r="P1138" s="3"/>
    </row>
    <row r="1139" spans="2:16" ht="19.5" customHeight="1">
      <c r="B1139" s="98"/>
      <c r="C1139" s="3"/>
      <c r="D1139" s="3"/>
      <c r="E1139" s="3"/>
      <c r="F1139" s="3"/>
      <c r="G1139" s="22"/>
      <c r="H1139" s="22"/>
      <c r="I1139" s="22"/>
      <c r="J1139" s="4"/>
      <c r="K1139" s="4"/>
      <c r="L1139" s="4"/>
      <c r="M1139" s="4"/>
      <c r="N1139" s="4"/>
      <c r="O1139" s="3"/>
      <c r="P1139" s="3"/>
    </row>
    <row r="1140" spans="2:16" ht="19.5" customHeight="1">
      <c r="B1140" s="3"/>
      <c r="C1140" s="3"/>
      <c r="D1140" s="3"/>
      <c r="E1140" s="22"/>
      <c r="F1140" s="3"/>
      <c r="G1140" s="22"/>
      <c r="H1140" s="22"/>
      <c r="I1140" s="22"/>
      <c r="J1140" s="4"/>
      <c r="K1140" s="4"/>
      <c r="L1140" s="4"/>
      <c r="M1140" s="4"/>
      <c r="N1140" s="4"/>
      <c r="O1140" s="3"/>
      <c r="P1140" s="3"/>
    </row>
    <row r="1141" spans="2:16" ht="19.5" customHeight="1">
      <c r="B1141" s="24"/>
      <c r="C1141" s="3"/>
      <c r="D1141" s="3"/>
      <c r="E1141" s="3"/>
      <c r="F1141" s="3"/>
      <c r="G1141" s="22"/>
      <c r="H1141" s="22"/>
      <c r="I1141" s="22"/>
      <c r="J1141" s="4"/>
      <c r="K1141" s="4"/>
      <c r="L1141" s="4"/>
      <c r="M1141" s="4"/>
      <c r="N1141" s="4"/>
      <c r="O1141" s="3"/>
      <c r="P1141" s="3"/>
    </row>
    <row r="1142" spans="2:16" ht="19.5" customHeight="1">
      <c r="C1142" s="3"/>
      <c r="D1142" s="3"/>
      <c r="E1142" s="3"/>
      <c r="F1142" s="3"/>
      <c r="G1142" s="22"/>
      <c r="H1142" s="22"/>
      <c r="I1142" s="22"/>
      <c r="J1142" s="4"/>
      <c r="K1142" s="4"/>
      <c r="L1142" s="4"/>
      <c r="M1142" s="4"/>
      <c r="N1142" s="4"/>
      <c r="O1142" s="3"/>
      <c r="P1142" s="3"/>
    </row>
    <row r="1143" spans="2:16" ht="19.5" customHeight="1">
      <c r="B1143" s="3"/>
      <c r="C1143" s="3"/>
      <c r="D1143" s="3"/>
      <c r="E1143" s="3"/>
      <c r="F1143" s="3"/>
      <c r="G1143" s="22"/>
      <c r="H1143" s="22"/>
      <c r="I1143" s="22"/>
      <c r="J1143" s="4"/>
      <c r="K1143" s="4"/>
      <c r="L1143" s="4"/>
      <c r="M1143" s="4"/>
      <c r="N1143" s="4"/>
      <c r="O1143" s="3"/>
      <c r="P1143" s="3"/>
    </row>
    <row r="1144" spans="2:16" ht="19.5" customHeight="1">
      <c r="B1144" s="24"/>
      <c r="C1144" s="3"/>
      <c r="D1144" s="3"/>
      <c r="E1144" s="3"/>
      <c r="F1144" s="3"/>
      <c r="G1144" s="22"/>
      <c r="H1144" s="22"/>
      <c r="I1144" s="22"/>
      <c r="J1144" s="4"/>
      <c r="K1144" s="4"/>
      <c r="L1144" s="4"/>
      <c r="M1144" s="4"/>
      <c r="N1144" s="4"/>
      <c r="O1144" s="3"/>
      <c r="P1144" s="3"/>
    </row>
    <row r="1145" spans="2:16" ht="19.5" customHeight="1">
      <c r="B1145" s="24"/>
      <c r="C1145" s="3"/>
      <c r="D1145" s="3"/>
      <c r="F1145" s="22"/>
      <c r="G1145" s="22"/>
      <c r="H1145" s="22"/>
      <c r="I1145" s="22"/>
      <c r="J1145" s="4"/>
      <c r="K1145" s="4"/>
      <c r="L1145" s="4"/>
      <c r="M1145" s="4"/>
      <c r="N1145" s="4"/>
      <c r="O1145" s="3"/>
      <c r="P1145" s="3"/>
    </row>
    <row r="1146" spans="2:16" ht="19.5" customHeight="1">
      <c r="B1146" s="24"/>
      <c r="C1146" s="3"/>
      <c r="D1146" s="3"/>
      <c r="E1146" s="22"/>
      <c r="F1146" s="22"/>
      <c r="G1146" s="22"/>
      <c r="H1146" s="22"/>
      <c r="I1146" s="22"/>
      <c r="J1146" s="4"/>
      <c r="K1146" s="4"/>
      <c r="L1146" s="4"/>
      <c r="M1146" s="4"/>
      <c r="N1146" s="4"/>
      <c r="O1146" s="3"/>
      <c r="P1146" s="3"/>
    </row>
    <row r="1147" spans="2:16" ht="19.5" customHeight="1">
      <c r="B1147" s="3"/>
      <c r="C1147" s="3"/>
      <c r="D1147" s="3"/>
      <c r="E1147" s="3"/>
      <c r="F1147" s="3"/>
      <c r="G1147" s="22"/>
      <c r="H1147" s="22"/>
      <c r="I1147" s="22"/>
      <c r="J1147" s="4"/>
      <c r="K1147" s="4"/>
      <c r="L1147" s="4"/>
      <c r="M1147" s="4"/>
      <c r="N1147" s="4"/>
      <c r="O1147" s="3"/>
      <c r="P1147" s="3"/>
    </row>
    <row r="1148" spans="2:16" ht="19.5" customHeight="1">
      <c r="B1148" s="24"/>
      <c r="C1148" s="3"/>
      <c r="D1148" s="3"/>
      <c r="E1148" s="22"/>
      <c r="F1148" s="3"/>
      <c r="G1148" s="22"/>
      <c r="H1148" s="22"/>
      <c r="I1148" s="22"/>
      <c r="J1148" s="4"/>
      <c r="K1148" s="4"/>
      <c r="L1148" s="4"/>
      <c r="M1148" s="4"/>
      <c r="N1148" s="4"/>
      <c r="O1148" s="3"/>
      <c r="P1148" s="3"/>
    </row>
    <row r="1149" spans="2:16" ht="19.5" customHeight="1">
      <c r="B1149" s="24"/>
      <c r="C1149" s="3"/>
      <c r="D1149" s="3"/>
      <c r="E1149" s="41"/>
      <c r="F1149" s="3"/>
      <c r="G1149" s="22"/>
      <c r="H1149" s="22"/>
      <c r="I1149" s="22"/>
      <c r="J1149" s="4"/>
      <c r="K1149" s="4"/>
      <c r="L1149" s="4"/>
      <c r="M1149" s="4"/>
      <c r="N1149" s="4"/>
      <c r="O1149" s="3"/>
      <c r="P1149" s="3"/>
    </row>
    <row r="1150" spans="2:16" ht="19.5" customHeight="1">
      <c r="B1150" s="3"/>
      <c r="C1150" s="3"/>
      <c r="D1150" s="3"/>
      <c r="E1150" s="41"/>
      <c r="F1150" s="3"/>
      <c r="G1150" s="22"/>
      <c r="H1150" s="22"/>
      <c r="I1150" s="22"/>
      <c r="J1150" s="4"/>
      <c r="K1150" s="4"/>
      <c r="L1150" s="4"/>
      <c r="M1150" s="4"/>
      <c r="N1150" s="4"/>
      <c r="O1150" s="3"/>
      <c r="P1150" s="3"/>
    </row>
    <row r="1151" spans="2:16" ht="19.5" customHeight="1">
      <c r="B1151" s="24"/>
      <c r="C1151" s="3"/>
      <c r="D1151" s="3"/>
      <c r="G1151" s="42"/>
      <c r="H1151" s="42"/>
      <c r="I1151" s="22"/>
      <c r="J1151" s="4"/>
      <c r="K1151" s="4"/>
      <c r="L1151" s="4"/>
      <c r="M1151" s="4"/>
      <c r="N1151" s="4"/>
      <c r="O1151" s="3"/>
      <c r="P1151" s="3"/>
    </row>
    <row r="1152" spans="2:16" ht="19.5" customHeight="1">
      <c r="B1152" s="24"/>
      <c r="C1152" s="3"/>
      <c r="D1152" s="3"/>
      <c r="E1152" s="3"/>
      <c r="G1152" s="42"/>
      <c r="H1152" s="22"/>
      <c r="I1152" s="22"/>
      <c r="J1152" s="4"/>
      <c r="K1152" s="4"/>
      <c r="L1152" s="4"/>
      <c r="M1152" s="4"/>
      <c r="N1152" s="4"/>
      <c r="O1152" s="3"/>
      <c r="P1152" s="3"/>
    </row>
    <row r="1153" spans="2:16" ht="19.5" customHeight="1">
      <c r="B1153" s="3"/>
      <c r="C1153" s="3"/>
      <c r="D1153" s="3"/>
      <c r="E1153" s="3"/>
      <c r="F1153" s="3"/>
      <c r="G1153" s="22"/>
      <c r="H1153" s="22"/>
      <c r="I1153" s="22"/>
      <c r="J1153" s="4"/>
      <c r="K1153" s="4"/>
      <c r="L1153" s="4"/>
      <c r="M1153" s="4"/>
      <c r="N1153" s="4"/>
      <c r="O1153" s="3"/>
      <c r="P1153" s="3"/>
    </row>
    <row r="1154" spans="2:16" ht="19.5" customHeight="1">
      <c r="B1154" s="24"/>
      <c r="C1154" s="3"/>
      <c r="D1154" s="3"/>
      <c r="E1154" s="3"/>
      <c r="F1154" s="3"/>
      <c r="G1154" s="22"/>
      <c r="H1154" s="22"/>
      <c r="I1154" s="22"/>
      <c r="J1154" s="4"/>
      <c r="K1154" s="4"/>
      <c r="L1154" s="4"/>
      <c r="M1154" s="4"/>
      <c r="N1154" s="4"/>
      <c r="O1154" s="3"/>
      <c r="P1154" s="3"/>
    </row>
    <row r="1155" spans="2:16" ht="19.5" customHeight="1">
      <c r="B1155" s="3"/>
      <c r="C1155" s="3"/>
      <c r="D1155" s="3"/>
      <c r="E1155" s="22"/>
      <c r="F1155" s="3"/>
      <c r="G1155" s="22"/>
      <c r="H1155" s="22"/>
      <c r="I1155" s="22"/>
      <c r="J1155" s="4"/>
      <c r="K1155" s="4"/>
      <c r="L1155" s="4"/>
      <c r="M1155" s="4"/>
      <c r="N1155" s="4"/>
      <c r="O1155" s="3"/>
      <c r="P1155" s="3"/>
    </row>
    <row r="1156" spans="2:16" ht="19.5" customHeight="1">
      <c r="C1156" s="3"/>
      <c r="D1156" s="3"/>
      <c r="E1156" s="22"/>
      <c r="G1156" s="42"/>
      <c r="H1156" s="42"/>
      <c r="I1156" s="22"/>
      <c r="J1156" s="4"/>
      <c r="K1156" s="4"/>
      <c r="L1156" s="4"/>
      <c r="M1156" s="4"/>
      <c r="N1156" s="4"/>
      <c r="O1156" s="3"/>
      <c r="P1156" s="3"/>
    </row>
    <row r="1157" spans="2:16" ht="19.5" customHeight="1">
      <c r="C1157" s="3"/>
      <c r="D1157" s="3"/>
      <c r="E1157" s="3"/>
      <c r="F1157" s="3"/>
      <c r="G1157" s="22"/>
      <c r="H1157" s="42"/>
      <c r="I1157" s="22"/>
      <c r="J1157" s="4"/>
      <c r="K1157" s="4"/>
      <c r="L1157" s="4"/>
      <c r="M1157" s="4"/>
      <c r="N1157" s="4"/>
      <c r="O1157" s="3"/>
      <c r="P1157" s="3"/>
    </row>
    <row r="1158" spans="2:16" ht="19.5" customHeight="1">
      <c r="B1158" s="24"/>
      <c r="C1158" s="3"/>
      <c r="D1158" s="3"/>
      <c r="E1158" s="41"/>
      <c r="F1158" s="3"/>
      <c r="G1158" s="22"/>
      <c r="H1158" s="22"/>
      <c r="I1158" s="22"/>
      <c r="J1158" s="4"/>
      <c r="K1158" s="4"/>
      <c r="L1158" s="4"/>
      <c r="M1158" s="4"/>
      <c r="N1158" s="4"/>
      <c r="O1158" s="3"/>
      <c r="P1158" s="3"/>
    </row>
    <row r="1159" spans="2:16" ht="19.5" customHeight="1">
      <c r="B1159" s="24"/>
      <c r="C1159" s="3"/>
      <c r="D1159" s="3"/>
      <c r="E1159" s="22"/>
      <c r="F1159" s="3"/>
      <c r="G1159" s="22"/>
      <c r="H1159" s="22"/>
      <c r="I1159" s="22"/>
      <c r="J1159" s="4"/>
      <c r="K1159" s="4"/>
      <c r="L1159" s="4"/>
      <c r="M1159" s="4"/>
      <c r="N1159" s="4"/>
      <c r="O1159" s="3"/>
      <c r="P1159" s="3"/>
    </row>
    <row r="1160" spans="2:16" ht="19.5" customHeight="1">
      <c r="B1160" s="24"/>
      <c r="C1160" s="3"/>
      <c r="D1160" s="3"/>
      <c r="E1160" s="22"/>
      <c r="F1160" s="3"/>
      <c r="G1160" s="22"/>
      <c r="H1160" s="22"/>
      <c r="I1160" s="22"/>
      <c r="J1160" s="4"/>
      <c r="K1160" s="4"/>
      <c r="L1160" s="4"/>
      <c r="M1160" s="4"/>
      <c r="N1160" s="4"/>
      <c r="O1160" s="3"/>
      <c r="P1160" s="3"/>
    </row>
    <row r="1161" spans="2:16" ht="19.5" customHeight="1">
      <c r="B1161" s="24"/>
      <c r="C1161" s="3"/>
      <c r="D1161" s="3"/>
      <c r="F1161" s="3"/>
      <c r="G1161" s="22"/>
      <c r="H1161" s="22"/>
      <c r="I1161" s="22"/>
      <c r="J1161" s="4"/>
      <c r="K1161" s="4"/>
      <c r="L1161" s="4"/>
      <c r="M1161" s="4"/>
      <c r="N1161" s="4"/>
      <c r="O1161" s="3"/>
      <c r="P1161" s="3"/>
    </row>
    <row r="1162" spans="2:16" ht="19.5" customHeight="1">
      <c r="B1162" s="24"/>
      <c r="C1162" s="3"/>
      <c r="D1162" s="3"/>
      <c r="E1162" s="3"/>
      <c r="F1162" s="3"/>
      <c r="G1162" s="22"/>
      <c r="H1162" s="22"/>
      <c r="I1162" s="22"/>
      <c r="J1162" s="4"/>
      <c r="K1162" s="4"/>
      <c r="L1162" s="4"/>
      <c r="M1162" s="4"/>
      <c r="N1162" s="4"/>
      <c r="O1162" s="3"/>
      <c r="P1162" s="3"/>
    </row>
    <row r="1163" spans="2:16" ht="19.5" customHeight="1">
      <c r="C1163" s="3"/>
      <c r="D1163" s="3"/>
      <c r="E1163" s="22"/>
      <c r="F1163" s="17"/>
      <c r="G1163" s="17"/>
      <c r="H1163" s="22"/>
      <c r="I1163" s="22"/>
      <c r="J1163" s="4"/>
      <c r="K1163" s="4"/>
      <c r="L1163" s="4"/>
      <c r="M1163" s="4"/>
      <c r="N1163" s="4"/>
      <c r="O1163" s="3"/>
      <c r="P1163" s="3"/>
    </row>
    <row r="1164" spans="2:16" ht="19.5" customHeight="1">
      <c r="B1164" s="3"/>
      <c r="C1164" s="3"/>
      <c r="D1164" s="3"/>
      <c r="E1164" s="22"/>
      <c r="F1164" s="3"/>
      <c r="G1164" s="17"/>
      <c r="H1164" s="22"/>
      <c r="I1164" s="22"/>
      <c r="J1164" s="4"/>
      <c r="K1164" s="4"/>
      <c r="L1164" s="4"/>
      <c r="M1164" s="4"/>
      <c r="N1164" s="4"/>
      <c r="O1164" s="3"/>
      <c r="P1164" s="3"/>
    </row>
    <row r="1165" spans="2:16" ht="19.5" customHeight="1">
      <c r="B1165" s="24"/>
      <c r="C1165" s="3"/>
      <c r="D1165" s="3"/>
      <c r="E1165" s="22"/>
      <c r="F1165" s="3"/>
      <c r="G1165" s="22"/>
      <c r="H1165" s="22"/>
      <c r="I1165" s="22"/>
      <c r="J1165" s="4"/>
      <c r="K1165" s="4"/>
      <c r="L1165" s="4"/>
      <c r="M1165" s="4"/>
      <c r="N1165" s="4"/>
      <c r="O1165" s="3"/>
      <c r="P1165" s="3"/>
    </row>
    <row r="1166" spans="2:16" ht="19.5" customHeight="1">
      <c r="B1166" s="3"/>
      <c r="C1166" s="3"/>
      <c r="D1166" s="3"/>
      <c r="E1166" s="22"/>
      <c r="F1166" s="3"/>
      <c r="G1166" s="22"/>
      <c r="H1166" s="22"/>
      <c r="I1166" s="22"/>
      <c r="J1166" s="4"/>
      <c r="K1166" s="4"/>
      <c r="L1166" s="4"/>
      <c r="M1166" s="4"/>
      <c r="N1166" s="4"/>
      <c r="O1166" s="3"/>
      <c r="P1166" s="3"/>
    </row>
    <row r="1167" spans="2:16" ht="19.5" customHeight="1">
      <c r="B1167" s="24"/>
      <c r="C1167" s="3"/>
      <c r="D1167" s="3"/>
      <c r="E1167" s="42"/>
      <c r="F1167" s="24"/>
      <c r="G1167" s="22"/>
      <c r="H1167" s="22"/>
      <c r="I1167" s="22"/>
      <c r="J1167" s="4"/>
      <c r="K1167" s="4"/>
      <c r="L1167" s="4"/>
      <c r="M1167" s="4"/>
      <c r="N1167" s="4"/>
      <c r="O1167" s="3"/>
      <c r="P1167" s="3"/>
    </row>
    <row r="1168" spans="2:16" ht="19.5" customHeight="1">
      <c r="B1168" s="24"/>
      <c r="C1168" s="3"/>
      <c r="D1168" s="3"/>
      <c r="E1168" s="42"/>
      <c r="F1168" s="3"/>
      <c r="G1168" s="22"/>
      <c r="H1168" s="22"/>
      <c r="I1168" s="22"/>
      <c r="J1168" s="4"/>
      <c r="K1168" s="4"/>
      <c r="L1168" s="4"/>
      <c r="M1168" s="4"/>
      <c r="N1168" s="4"/>
      <c r="O1168" s="3"/>
      <c r="P1168" s="3"/>
    </row>
    <row r="1169" spans="2:16" ht="19.5" customHeight="1">
      <c r="B1169" s="17"/>
      <c r="C1169" s="3"/>
      <c r="D1169" s="3"/>
      <c r="E1169" s="22"/>
      <c r="F1169" s="3"/>
      <c r="G1169" s="22"/>
      <c r="H1169" s="22"/>
      <c r="I1169" s="22"/>
      <c r="J1169" s="4"/>
      <c r="K1169" s="4"/>
      <c r="L1169" s="4"/>
      <c r="M1169" s="4"/>
      <c r="N1169" s="4"/>
      <c r="O1169" s="3"/>
      <c r="P1169" s="3"/>
    </row>
    <row r="1170" spans="2:16" ht="19.5" customHeight="1">
      <c r="B1170" s="24"/>
      <c r="C1170" s="3"/>
      <c r="D1170" s="3"/>
      <c r="E1170" s="22"/>
      <c r="F1170" s="3"/>
      <c r="G1170" s="22"/>
      <c r="H1170" s="22"/>
      <c r="I1170" s="22"/>
      <c r="J1170" s="4"/>
      <c r="K1170" s="4"/>
      <c r="L1170" s="4"/>
      <c r="M1170" s="4"/>
      <c r="N1170" s="4"/>
      <c r="O1170" s="3"/>
      <c r="P1170" s="3"/>
    </row>
    <row r="1171" spans="2:16" ht="19.5" customHeight="1">
      <c r="B1171" s="24"/>
      <c r="C1171" s="3"/>
      <c r="D1171" s="3"/>
      <c r="E1171" s="3"/>
      <c r="F1171" s="3"/>
      <c r="G1171" s="22"/>
      <c r="H1171" s="22"/>
      <c r="I1171" s="22"/>
      <c r="J1171" s="4"/>
      <c r="K1171" s="4"/>
      <c r="L1171" s="4"/>
      <c r="M1171" s="4"/>
      <c r="N1171" s="4"/>
      <c r="O1171" s="3"/>
      <c r="P1171" s="3"/>
    </row>
    <row r="1172" spans="2:16" ht="19.5" customHeight="1">
      <c r="B1172" s="24"/>
      <c r="C1172" s="3"/>
      <c r="D1172" s="3"/>
      <c r="E1172" s="3"/>
      <c r="F1172" s="3"/>
      <c r="G1172" s="22"/>
      <c r="H1172" s="22"/>
      <c r="I1172" s="22"/>
      <c r="J1172" s="4"/>
      <c r="K1172" s="4"/>
      <c r="L1172" s="4"/>
      <c r="M1172" s="4"/>
      <c r="N1172" s="4"/>
      <c r="O1172" s="3"/>
      <c r="P1172" s="3"/>
    </row>
    <row r="1173" spans="2:16" ht="19.5" customHeight="1">
      <c r="B1173" s="24"/>
      <c r="C1173" s="3"/>
      <c r="D1173" s="3"/>
      <c r="E1173" s="22"/>
      <c r="F1173" s="3"/>
      <c r="G1173" s="22"/>
      <c r="H1173" s="22"/>
      <c r="I1173" s="22"/>
      <c r="J1173" s="4"/>
      <c r="K1173" s="4"/>
      <c r="L1173" s="4"/>
      <c r="M1173" s="4"/>
      <c r="N1173" s="4"/>
      <c r="O1173" s="3"/>
      <c r="P1173" s="3"/>
    </row>
    <row r="1174" spans="2:16" ht="19.5" customHeight="1">
      <c r="B1174" s="24"/>
      <c r="C1174" s="3"/>
      <c r="D1174" s="3"/>
      <c r="E1174" s="22"/>
      <c r="F1174" s="3"/>
      <c r="G1174" s="22"/>
      <c r="H1174" s="22"/>
      <c r="I1174" s="22"/>
      <c r="J1174" s="4"/>
      <c r="K1174" s="4"/>
      <c r="L1174" s="4"/>
      <c r="M1174" s="4"/>
      <c r="N1174" s="4"/>
      <c r="O1174" s="3"/>
      <c r="P1174" s="3"/>
    </row>
    <row r="1175" spans="2:16" ht="19.5" customHeight="1">
      <c r="B1175" s="24"/>
      <c r="C1175" s="3"/>
      <c r="D1175" s="3"/>
      <c r="E1175" s="3"/>
      <c r="F1175" s="3"/>
      <c r="G1175" s="22"/>
      <c r="H1175" s="22"/>
      <c r="I1175" s="22"/>
      <c r="J1175" s="4"/>
      <c r="K1175" s="4"/>
      <c r="L1175" s="4"/>
      <c r="M1175" s="4"/>
      <c r="N1175" s="4"/>
      <c r="O1175" s="3"/>
      <c r="P1175" s="3"/>
    </row>
    <row r="1176" spans="2:16" ht="19.5" customHeight="1">
      <c r="B1176" s="24"/>
      <c r="C1176" s="3"/>
      <c r="D1176" s="3"/>
      <c r="E1176" s="22"/>
      <c r="F1176" s="3"/>
      <c r="G1176" s="22"/>
      <c r="H1176" s="22"/>
      <c r="I1176" s="22"/>
      <c r="J1176" s="4"/>
      <c r="K1176" s="4"/>
      <c r="L1176" s="4"/>
      <c r="M1176" s="4"/>
      <c r="N1176" s="4"/>
      <c r="O1176" s="3"/>
      <c r="P1176" s="3"/>
    </row>
    <row r="1177" spans="2:16" ht="19.5" customHeight="1">
      <c r="B1177" s="24"/>
      <c r="C1177" s="3"/>
      <c r="D1177" s="3"/>
      <c r="E1177" s="3"/>
      <c r="F1177" s="3"/>
      <c r="G1177" s="22"/>
      <c r="H1177" s="22"/>
      <c r="I1177" s="22"/>
      <c r="J1177" s="4"/>
      <c r="K1177" s="4"/>
      <c r="L1177" s="4"/>
      <c r="M1177" s="4"/>
      <c r="N1177" s="4"/>
      <c r="O1177" s="3"/>
      <c r="P1177" s="3"/>
    </row>
    <row r="1178" spans="2:16" ht="19.5" customHeight="1">
      <c r="B1178" s="3"/>
      <c r="C1178" s="3"/>
      <c r="D1178" s="3"/>
      <c r="E1178" s="22"/>
      <c r="F1178" s="3"/>
      <c r="G1178" s="22"/>
      <c r="H1178" s="99"/>
      <c r="I1178" s="22"/>
      <c r="J1178" s="4"/>
      <c r="K1178" s="4"/>
      <c r="L1178" s="4"/>
      <c r="M1178" s="4"/>
      <c r="N1178" s="4"/>
      <c r="O1178" s="3"/>
      <c r="P1178" s="3"/>
    </row>
    <row r="1179" spans="2:16" ht="19.5" customHeight="1">
      <c r="B1179" s="3"/>
      <c r="C1179" s="3"/>
      <c r="D1179" s="3"/>
      <c r="E1179" s="22"/>
      <c r="F1179" s="3"/>
      <c r="G1179" s="22"/>
      <c r="H1179" s="99"/>
      <c r="I1179" s="22"/>
      <c r="J1179" s="4"/>
      <c r="K1179" s="4"/>
      <c r="L1179" s="4"/>
      <c r="M1179" s="4"/>
      <c r="N1179" s="4"/>
      <c r="O1179" s="3"/>
      <c r="P1179" s="3"/>
    </row>
    <row r="1180" spans="2:16" ht="19.5" customHeight="1">
      <c r="B1180" s="3"/>
      <c r="C1180" s="3"/>
      <c r="D1180" s="3"/>
      <c r="E1180" s="22"/>
      <c r="F1180" s="3"/>
      <c r="G1180" s="22"/>
      <c r="H1180" s="22"/>
      <c r="I1180" s="22"/>
      <c r="J1180" s="4"/>
      <c r="K1180" s="4"/>
      <c r="L1180" s="4"/>
      <c r="M1180" s="4"/>
      <c r="N1180" s="4"/>
      <c r="O1180" s="3"/>
      <c r="P1180" s="3"/>
    </row>
    <row r="1181" spans="2:16" ht="19.5" customHeight="1">
      <c r="B1181" s="24"/>
      <c r="C1181" s="3"/>
      <c r="D1181" s="3"/>
      <c r="E1181" s="3"/>
      <c r="F1181" s="3"/>
      <c r="G1181" s="22"/>
      <c r="H1181" s="22"/>
      <c r="I1181" s="22"/>
      <c r="J1181" s="4"/>
      <c r="K1181" s="4"/>
      <c r="L1181" s="4"/>
      <c r="M1181" s="4"/>
      <c r="N1181" s="4"/>
      <c r="O1181" s="3"/>
      <c r="P1181" s="3"/>
    </row>
    <row r="1182" spans="2:16" ht="19.5" customHeight="1">
      <c r="B1182" s="24"/>
      <c r="C1182" s="3"/>
      <c r="D1182" s="3"/>
      <c r="E1182" s="17"/>
      <c r="F1182" s="17"/>
      <c r="G1182" s="22"/>
      <c r="H1182" s="22"/>
      <c r="I1182" s="22"/>
      <c r="J1182" s="4"/>
      <c r="K1182" s="4"/>
      <c r="L1182" s="4"/>
      <c r="M1182" s="4"/>
      <c r="N1182" s="4"/>
      <c r="O1182" s="3"/>
      <c r="P1182" s="3"/>
    </row>
    <row r="1183" spans="2:16" ht="19.5" customHeight="1">
      <c r="B1183" s="24"/>
      <c r="C1183" s="3"/>
      <c r="D1183" s="3"/>
      <c r="E1183" s="17"/>
      <c r="F1183" s="24"/>
      <c r="G1183" s="22"/>
      <c r="H1183" s="22"/>
      <c r="I1183" s="22"/>
      <c r="J1183" s="4"/>
      <c r="K1183" s="4"/>
      <c r="L1183" s="4"/>
      <c r="M1183" s="4"/>
      <c r="N1183" s="4"/>
      <c r="O1183" s="3"/>
      <c r="P1183" s="3"/>
    </row>
    <row r="1184" spans="2:16" ht="19.5" customHeight="1">
      <c r="B1184" s="3"/>
      <c r="C1184" s="3"/>
      <c r="D1184" s="3"/>
      <c r="E1184" s="3"/>
      <c r="F1184" s="3"/>
      <c r="G1184" s="22"/>
      <c r="H1184" s="22"/>
      <c r="I1184" s="22"/>
      <c r="J1184" s="4"/>
      <c r="K1184" s="4"/>
      <c r="L1184" s="4"/>
      <c r="M1184" s="4"/>
      <c r="N1184" s="4"/>
      <c r="O1184" s="3"/>
      <c r="P1184" s="3"/>
    </row>
    <row r="1185" spans="2:16" ht="19.5" customHeight="1">
      <c r="B1185" s="3"/>
      <c r="C1185" s="3"/>
      <c r="D1185" s="3"/>
      <c r="E1185" s="3"/>
      <c r="F1185" s="3"/>
      <c r="G1185" s="22"/>
      <c r="H1185" s="22"/>
      <c r="I1185" s="22"/>
      <c r="J1185" s="4"/>
      <c r="K1185" s="4"/>
      <c r="L1185" s="4"/>
      <c r="M1185" s="4"/>
      <c r="N1185" s="4"/>
      <c r="O1185" s="3"/>
      <c r="P1185" s="3"/>
    </row>
    <row r="1186" spans="2:16" ht="19.5" customHeight="1">
      <c r="B1186" s="3"/>
      <c r="C1186" s="3"/>
      <c r="D1186" s="3"/>
      <c r="E1186" s="3"/>
      <c r="F1186" s="3"/>
      <c r="G1186" s="22"/>
      <c r="H1186" s="22"/>
      <c r="I1186" s="22"/>
      <c r="J1186" s="4"/>
      <c r="K1186" s="4"/>
      <c r="L1186" s="4"/>
      <c r="M1186" s="4"/>
      <c r="N1186" s="4"/>
      <c r="O1186" s="3"/>
      <c r="P1186" s="3"/>
    </row>
    <row r="1187" spans="2:16" ht="19.5" customHeight="1">
      <c r="B1187" s="3"/>
      <c r="C1187" s="3"/>
      <c r="D1187" s="3"/>
      <c r="E1187" s="3"/>
      <c r="F1187" s="3"/>
      <c r="G1187" s="22"/>
      <c r="H1187" s="22"/>
      <c r="I1187" s="22"/>
      <c r="J1187" s="22"/>
      <c r="K1187" s="4"/>
      <c r="L1187" s="4"/>
      <c r="M1187" s="4"/>
      <c r="N1187" s="4"/>
      <c r="O1187" s="3"/>
      <c r="P1187" s="3"/>
    </row>
    <row r="1188" spans="2:16" ht="19.5" customHeight="1">
      <c r="B1188" s="3"/>
      <c r="C1188" s="3"/>
      <c r="D1188" s="3"/>
      <c r="E1188" s="3"/>
      <c r="F1188" s="3"/>
      <c r="G1188" s="22"/>
      <c r="H1188" s="22"/>
      <c r="I1188" s="22"/>
      <c r="J1188" s="22"/>
      <c r="K1188" s="4"/>
      <c r="L1188" s="4"/>
      <c r="M1188" s="4"/>
      <c r="N1188" s="4"/>
      <c r="O1188" s="3"/>
      <c r="P1188" s="3"/>
    </row>
    <row r="1189" spans="2:16" ht="19.5" customHeight="1">
      <c r="B1189" s="3"/>
      <c r="C1189" s="22"/>
      <c r="D1189" s="22"/>
      <c r="E1189" s="3"/>
      <c r="F1189" s="3"/>
      <c r="G1189" s="22"/>
      <c r="H1189" s="22"/>
      <c r="I1189" s="22"/>
      <c r="J1189" s="4"/>
      <c r="K1189" s="4"/>
      <c r="L1189" s="4"/>
      <c r="M1189" s="4"/>
      <c r="N1189" s="4"/>
      <c r="O1189" s="3"/>
      <c r="P1189" s="3"/>
    </row>
    <row r="1190" spans="2:16" ht="19.5" customHeight="1">
      <c r="B1190" s="3"/>
      <c r="C1190" s="22"/>
      <c r="D1190" s="22"/>
      <c r="E1190" s="3"/>
      <c r="F1190" s="3"/>
      <c r="G1190" s="22"/>
      <c r="H1190" s="22"/>
      <c r="I1190" s="22"/>
      <c r="J1190" s="4"/>
      <c r="K1190" s="4"/>
      <c r="L1190" s="4"/>
      <c r="M1190" s="4"/>
      <c r="N1190" s="4"/>
      <c r="O1190" s="3"/>
      <c r="P1190" s="3"/>
    </row>
    <row r="1191" spans="2:16" ht="19.5" customHeight="1">
      <c r="B1191" s="3"/>
      <c r="C1191" s="22"/>
      <c r="D1191" s="22"/>
      <c r="E1191" s="3"/>
      <c r="F1191" s="3"/>
      <c r="G1191" s="22"/>
      <c r="H1191" s="22"/>
      <c r="I1191" s="22"/>
      <c r="J1191" s="4"/>
      <c r="K1191" s="4"/>
      <c r="L1191" s="4"/>
      <c r="M1191" s="4"/>
      <c r="N1191" s="4"/>
      <c r="O1191" s="3"/>
      <c r="P1191" s="3"/>
    </row>
    <row r="1192" spans="2:16" ht="19.5" customHeight="1">
      <c r="B1192" s="3"/>
      <c r="C1192" s="3"/>
      <c r="D1192" s="3"/>
      <c r="E1192" s="3"/>
      <c r="F1192" s="3"/>
      <c r="G1192" s="22"/>
      <c r="H1192" s="22"/>
      <c r="I1192" s="22"/>
      <c r="J1192" s="4"/>
      <c r="K1192" s="4"/>
      <c r="L1192" s="4"/>
      <c r="M1192" s="4"/>
      <c r="N1192" s="4"/>
      <c r="O1192" s="3"/>
      <c r="P1192" s="3"/>
    </row>
    <row r="1193" spans="2:16" ht="19.5" customHeight="1">
      <c r="B1193" s="3"/>
      <c r="C1193" s="3"/>
      <c r="D1193" s="3"/>
      <c r="E1193" s="3"/>
      <c r="F1193" s="3"/>
      <c r="G1193" s="22"/>
      <c r="H1193" s="22"/>
      <c r="I1193" s="22"/>
      <c r="J1193" s="4"/>
      <c r="K1193" s="4"/>
      <c r="L1193" s="4"/>
      <c r="M1193" s="4"/>
      <c r="N1193" s="4"/>
      <c r="O1193" s="3"/>
      <c r="P1193" s="3"/>
    </row>
    <row r="1194" spans="2:16" ht="19.5" customHeight="1">
      <c r="B1194" s="3"/>
      <c r="C1194" s="3"/>
      <c r="D1194" s="3"/>
      <c r="E1194" s="3"/>
      <c r="F1194" s="3"/>
      <c r="G1194" s="22"/>
      <c r="H1194" s="22"/>
      <c r="I1194" s="22"/>
      <c r="J1194" s="4"/>
      <c r="K1194" s="4"/>
      <c r="L1194" s="4"/>
      <c r="M1194" s="4"/>
      <c r="N1194" s="4"/>
      <c r="O1194" s="3"/>
      <c r="P1194" s="3"/>
    </row>
    <row r="1195" spans="2:16" ht="19.5" customHeight="1">
      <c r="B1195" s="3"/>
      <c r="C1195" s="3"/>
      <c r="D1195" s="3"/>
      <c r="E1195" s="3"/>
      <c r="F1195" s="3"/>
      <c r="G1195" s="22"/>
      <c r="H1195" s="22"/>
      <c r="I1195" s="22"/>
      <c r="J1195" s="4"/>
      <c r="K1195" s="4"/>
      <c r="L1195" s="4"/>
      <c r="M1195" s="4"/>
      <c r="N1195" s="4"/>
      <c r="O1195" s="3"/>
      <c r="P1195" s="3"/>
    </row>
    <row r="1196" spans="2:16" ht="19.5" customHeight="1">
      <c r="B1196" s="3"/>
      <c r="C1196" s="3"/>
      <c r="D1196" s="3"/>
      <c r="E1196" s="3"/>
      <c r="F1196" s="3"/>
      <c r="G1196" s="22"/>
      <c r="H1196" s="22"/>
      <c r="I1196" s="22"/>
      <c r="J1196" s="4"/>
      <c r="K1196" s="4"/>
      <c r="L1196" s="4"/>
      <c r="M1196" s="4"/>
      <c r="N1196" s="4"/>
      <c r="O1196" s="3"/>
      <c r="P1196" s="3"/>
    </row>
    <row r="1197" spans="2:16" ht="19.5" customHeight="1">
      <c r="B1197" s="3"/>
      <c r="C1197" s="3"/>
      <c r="D1197" s="3"/>
      <c r="E1197" s="3"/>
      <c r="F1197" s="3"/>
      <c r="G1197" s="22"/>
      <c r="H1197" s="22"/>
      <c r="I1197" s="22"/>
      <c r="J1197" s="4"/>
      <c r="K1197" s="4"/>
      <c r="L1197" s="4"/>
      <c r="M1197" s="4"/>
      <c r="N1197" s="4"/>
      <c r="O1197" s="3"/>
      <c r="P1197" s="3"/>
    </row>
    <row r="1198" spans="2:16" ht="19.5" customHeight="1">
      <c r="B1198" s="3"/>
      <c r="C1198" s="3"/>
      <c r="D1198" s="3"/>
      <c r="E1198" s="3"/>
      <c r="F1198" s="3"/>
      <c r="G1198" s="22"/>
      <c r="H1198" s="22"/>
      <c r="I1198" s="22"/>
      <c r="J1198" s="4"/>
      <c r="K1198" s="4"/>
      <c r="L1198" s="4"/>
      <c r="M1198" s="4"/>
      <c r="N1198" s="4"/>
      <c r="O1198" s="3"/>
      <c r="P1198" s="3"/>
    </row>
    <row r="1199" spans="2:16" ht="19.5" customHeight="1">
      <c r="B1199" s="3"/>
      <c r="C1199" s="3"/>
      <c r="D1199" s="3"/>
      <c r="E1199" s="3"/>
      <c r="F1199" s="3"/>
      <c r="G1199" s="22"/>
      <c r="H1199" s="22"/>
      <c r="I1199" s="22"/>
      <c r="J1199" s="4"/>
      <c r="K1199" s="4"/>
      <c r="L1199" s="4"/>
      <c r="M1199" s="4"/>
      <c r="N1199" s="4"/>
      <c r="O1199" s="3"/>
      <c r="P1199" s="3"/>
    </row>
    <row r="1200" spans="2:16" ht="19.5" customHeight="1">
      <c r="B1200" s="3"/>
      <c r="C1200" s="3"/>
      <c r="D1200" s="3"/>
      <c r="E1200" s="3"/>
      <c r="F1200" s="3"/>
      <c r="G1200" s="22"/>
      <c r="H1200" s="22"/>
      <c r="I1200" s="22"/>
      <c r="J1200" s="4"/>
      <c r="K1200" s="4"/>
      <c r="L1200" s="4"/>
      <c r="M1200" s="4"/>
      <c r="N1200" s="4"/>
      <c r="O1200" s="3"/>
      <c r="P1200" s="3"/>
    </row>
    <row r="1201" spans="2:16" ht="19.5" customHeight="1">
      <c r="B1201" s="3"/>
      <c r="C1201" s="3"/>
      <c r="D1201" s="3"/>
      <c r="E1201" s="3"/>
      <c r="F1201" s="3"/>
      <c r="G1201" s="22"/>
      <c r="H1201" s="22"/>
      <c r="I1201" s="22"/>
      <c r="J1201" s="4"/>
      <c r="K1201" s="4"/>
      <c r="L1201" s="4"/>
      <c r="M1201" s="4"/>
      <c r="N1201" s="4"/>
      <c r="O1201" s="3"/>
      <c r="P1201" s="3"/>
    </row>
    <row r="1202" spans="2:16" ht="19.5" customHeight="1">
      <c r="B1202" s="3"/>
      <c r="C1202" s="3"/>
      <c r="D1202" s="3"/>
      <c r="E1202" s="3"/>
      <c r="F1202" s="3"/>
      <c r="G1202" s="22"/>
      <c r="H1202" s="22"/>
      <c r="I1202" s="22"/>
      <c r="J1202" s="4"/>
      <c r="K1202" s="4"/>
      <c r="L1202" s="4"/>
      <c r="M1202" s="4"/>
      <c r="N1202" s="4"/>
      <c r="O1202" s="3"/>
      <c r="P1202" s="3"/>
    </row>
    <row r="1203" spans="2:16" ht="19.5" customHeight="1">
      <c r="B1203" s="3"/>
      <c r="C1203" s="3"/>
      <c r="D1203" s="3"/>
      <c r="E1203" s="3"/>
      <c r="F1203" s="3"/>
      <c r="G1203" s="22"/>
      <c r="H1203" s="22"/>
      <c r="I1203" s="22"/>
      <c r="J1203" s="22"/>
      <c r="K1203" s="22"/>
      <c r="L1203" s="22"/>
      <c r="M1203" s="22"/>
      <c r="N1203" s="4"/>
      <c r="O1203" s="3"/>
      <c r="P1203" s="3"/>
    </row>
    <row r="1204" spans="2:16" ht="19.5" customHeight="1">
      <c r="B1204" s="3"/>
      <c r="C1204" s="3"/>
      <c r="D1204" s="3"/>
      <c r="E1204" s="3"/>
      <c r="F1204" s="3"/>
      <c r="G1204" s="22"/>
      <c r="H1204" s="22"/>
      <c r="I1204" s="22"/>
      <c r="J1204" s="4"/>
      <c r="K1204" s="22"/>
      <c r="L1204" s="22"/>
      <c r="M1204" s="22"/>
      <c r="N1204" s="4"/>
      <c r="O1204" s="3"/>
      <c r="P1204" s="3"/>
    </row>
    <row r="1205" spans="2:16" ht="19.5" customHeight="1">
      <c r="B1205" s="3"/>
      <c r="C1205" s="3"/>
      <c r="D1205" s="3"/>
      <c r="E1205" s="3"/>
      <c r="F1205" s="3"/>
      <c r="G1205" s="22"/>
      <c r="H1205" s="22"/>
      <c r="I1205" s="22"/>
      <c r="J1205" s="4"/>
      <c r="K1205" s="4"/>
      <c r="L1205" s="22"/>
      <c r="M1205" s="22"/>
      <c r="N1205" s="4"/>
      <c r="O1205" s="3"/>
      <c r="P1205" s="3"/>
    </row>
    <row r="1206" spans="2:16" ht="19.5" customHeight="1">
      <c r="B1206" s="3"/>
      <c r="C1206" s="3"/>
      <c r="D1206" s="3"/>
      <c r="E1206" s="3"/>
      <c r="F1206" s="3"/>
      <c r="G1206" s="22"/>
      <c r="H1206" s="22"/>
      <c r="I1206" s="22"/>
      <c r="J1206" s="22"/>
      <c r="K1206" s="22"/>
      <c r="L1206" s="22"/>
      <c r="M1206" s="22"/>
      <c r="N1206" s="4"/>
      <c r="O1206" s="3"/>
      <c r="P1206" s="3"/>
    </row>
    <row r="1207" spans="2:16" ht="19.5" customHeight="1">
      <c r="B1207" s="3"/>
      <c r="C1207" s="3"/>
      <c r="D1207" s="3"/>
      <c r="E1207" s="3"/>
      <c r="F1207" s="3"/>
      <c r="G1207" s="22"/>
      <c r="H1207" s="22"/>
      <c r="I1207" s="22"/>
      <c r="J1207" s="22"/>
      <c r="K1207" s="22"/>
      <c r="L1207" s="22"/>
      <c r="M1207" s="22"/>
      <c r="N1207" s="4"/>
      <c r="O1207" s="3"/>
      <c r="P1207" s="3"/>
    </row>
    <row r="1208" spans="2:16" ht="19.5" customHeight="1">
      <c r="B1208" s="3"/>
      <c r="C1208" s="3"/>
      <c r="D1208" s="3"/>
      <c r="E1208" s="3"/>
      <c r="F1208" s="3"/>
      <c r="G1208" s="22"/>
      <c r="H1208" s="22"/>
      <c r="I1208" s="22"/>
      <c r="J1208" s="22"/>
      <c r="K1208" s="22"/>
      <c r="L1208" s="22"/>
      <c r="M1208" s="4"/>
      <c r="N1208" s="4"/>
      <c r="O1208" s="3"/>
      <c r="P1208" s="3"/>
    </row>
    <row r="1209" spans="2:16" ht="19.5" customHeight="1">
      <c r="B1209" s="3"/>
      <c r="C1209" s="3"/>
      <c r="D1209" s="3"/>
      <c r="E1209" s="3"/>
      <c r="F1209" s="3"/>
      <c r="G1209" s="22"/>
      <c r="H1209" s="22"/>
      <c r="I1209" s="22"/>
      <c r="J1209" s="22"/>
      <c r="K1209" s="22"/>
      <c r="L1209" s="22"/>
      <c r="M1209" s="4"/>
      <c r="N1209" s="4"/>
      <c r="O1209" s="3"/>
      <c r="P1209" s="3"/>
    </row>
    <row r="1210" spans="2:16" ht="19.5" customHeight="1">
      <c r="B1210" s="3"/>
      <c r="C1210" s="3"/>
      <c r="D1210" s="3"/>
      <c r="E1210" s="3"/>
      <c r="F1210" s="3"/>
      <c r="G1210" s="22"/>
      <c r="H1210" s="22"/>
      <c r="I1210" s="22"/>
      <c r="J1210" s="22"/>
      <c r="K1210" s="22"/>
      <c r="L1210" s="22"/>
      <c r="M1210" s="22"/>
      <c r="N1210" s="4"/>
      <c r="O1210" s="3"/>
      <c r="P1210" s="3"/>
    </row>
    <row r="1211" spans="2:16" ht="19.5" customHeight="1">
      <c r="B1211" s="3"/>
      <c r="C1211" s="3"/>
      <c r="D1211" s="3"/>
      <c r="E1211" s="3"/>
      <c r="F1211" s="3"/>
      <c r="G1211" s="22"/>
      <c r="H1211" s="22"/>
      <c r="I1211" s="22"/>
      <c r="J1211" s="22"/>
      <c r="K1211" s="22"/>
      <c r="L1211" s="22"/>
      <c r="M1211" s="22"/>
      <c r="N1211" s="4"/>
      <c r="O1211" s="3"/>
      <c r="P1211" s="3"/>
    </row>
    <row r="1212" spans="2:16" ht="19.5" customHeight="1">
      <c r="B1212" s="3"/>
      <c r="C1212" s="3"/>
      <c r="D1212" s="3"/>
      <c r="E1212" s="3"/>
      <c r="F1212" s="3"/>
      <c r="G1212" s="22"/>
      <c r="H1212" s="22"/>
      <c r="I1212" s="22"/>
      <c r="J1212" s="22"/>
      <c r="K1212" s="22"/>
      <c r="L1212" s="22"/>
      <c r="M1212" s="4"/>
      <c r="N1212" s="4"/>
      <c r="O1212" s="3"/>
      <c r="P1212" s="3"/>
    </row>
    <row r="1213" spans="2:16" ht="19.5" customHeight="1">
      <c r="B1213" s="3"/>
      <c r="C1213" s="3"/>
      <c r="D1213" s="3"/>
      <c r="E1213" s="3"/>
      <c r="F1213" s="3"/>
      <c r="G1213" s="22"/>
      <c r="H1213" s="22"/>
      <c r="I1213" s="22"/>
      <c r="J1213" s="4"/>
      <c r="K1213" s="4"/>
      <c r="L1213" s="4"/>
      <c r="M1213" s="4"/>
      <c r="N1213" s="4"/>
      <c r="O1213" s="3"/>
      <c r="P1213" s="3"/>
    </row>
    <row r="1214" spans="2:16" ht="19.5" customHeight="1">
      <c r="B1214" s="3"/>
      <c r="C1214" s="3"/>
      <c r="D1214" s="3"/>
      <c r="E1214" s="3"/>
      <c r="F1214" s="3"/>
      <c r="G1214" s="22"/>
      <c r="H1214" s="22"/>
      <c r="I1214" s="22"/>
      <c r="J1214" s="4"/>
      <c r="K1214" s="4"/>
      <c r="L1214" s="4"/>
      <c r="M1214" s="4"/>
      <c r="N1214" s="4"/>
      <c r="O1214" s="3"/>
      <c r="P1214" s="3"/>
    </row>
    <row r="1215" spans="2:16" ht="19.5" customHeight="1">
      <c r="B1215" s="3"/>
      <c r="C1215" s="3"/>
      <c r="D1215" s="3"/>
      <c r="E1215" s="3"/>
      <c r="F1215" s="3"/>
      <c r="G1215" s="22"/>
      <c r="H1215" s="22"/>
      <c r="I1215" s="22"/>
      <c r="J1215" s="4"/>
      <c r="K1215" s="4"/>
      <c r="L1215" s="4"/>
      <c r="M1215" s="4"/>
      <c r="N1215" s="4"/>
      <c r="O1215" s="3"/>
      <c r="P1215" s="3"/>
    </row>
    <row r="1216" spans="2:16" ht="19.5" customHeight="1">
      <c r="B1216" s="3"/>
      <c r="C1216" s="3"/>
      <c r="D1216" s="3"/>
      <c r="E1216" s="3"/>
      <c r="F1216" s="3"/>
      <c r="G1216" s="22"/>
      <c r="H1216" s="22"/>
      <c r="I1216" s="22"/>
      <c r="J1216" s="4"/>
      <c r="K1216" s="4"/>
      <c r="L1216" s="4"/>
      <c r="M1216" s="4"/>
      <c r="N1216" s="4"/>
      <c r="O1216" s="3"/>
      <c r="P1216" s="3"/>
    </row>
    <row r="1217" spans="2:16" ht="19.5" customHeight="1">
      <c r="B1217" s="3"/>
      <c r="C1217" s="3"/>
      <c r="D1217" s="3"/>
      <c r="E1217" s="3"/>
      <c r="F1217" s="3"/>
      <c r="G1217" s="22"/>
      <c r="H1217" s="22"/>
      <c r="I1217" s="22"/>
      <c r="J1217" s="4"/>
      <c r="K1217" s="4"/>
      <c r="L1217" s="4"/>
      <c r="M1217" s="4"/>
      <c r="N1217" s="4"/>
      <c r="O1217" s="3"/>
      <c r="P1217" s="3"/>
    </row>
    <row r="1218" spans="2:16" ht="19.5" customHeight="1">
      <c r="B1218" s="3"/>
      <c r="C1218" s="3"/>
      <c r="D1218" s="3"/>
      <c r="E1218" s="3"/>
      <c r="F1218" s="3"/>
      <c r="G1218" s="22"/>
      <c r="H1218" s="22"/>
      <c r="I1218" s="22"/>
      <c r="J1218" s="4"/>
      <c r="K1218" s="4"/>
      <c r="L1218" s="4"/>
      <c r="M1218" s="4"/>
      <c r="N1218" s="4"/>
      <c r="O1218" s="3"/>
      <c r="P1218" s="3"/>
    </row>
    <row r="1219" spans="2:16" ht="19.5" customHeight="1">
      <c r="B1219" s="3"/>
      <c r="C1219" s="3"/>
      <c r="D1219" s="3"/>
      <c r="E1219" s="3"/>
      <c r="F1219" s="3"/>
      <c r="G1219" s="22"/>
      <c r="H1219" s="22"/>
      <c r="I1219" s="22"/>
      <c r="J1219" s="4"/>
      <c r="K1219" s="4"/>
      <c r="L1219" s="4"/>
      <c r="M1219" s="4"/>
      <c r="N1219" s="4"/>
      <c r="O1219" s="3"/>
      <c r="P1219" s="3"/>
    </row>
    <row r="1220" spans="2:16" ht="19.5" customHeight="1">
      <c r="B1220" s="3"/>
      <c r="C1220" s="3"/>
      <c r="D1220" s="3"/>
      <c r="E1220" s="3"/>
      <c r="F1220" s="3"/>
      <c r="G1220" s="22"/>
      <c r="H1220" s="22"/>
      <c r="I1220" s="22"/>
      <c r="J1220" s="4"/>
      <c r="K1220" s="4"/>
      <c r="L1220" s="4"/>
      <c r="M1220" s="4"/>
      <c r="N1220" s="4"/>
      <c r="O1220" s="3"/>
      <c r="P1220" s="3"/>
    </row>
    <row r="1221" spans="2:16" ht="19.5" customHeight="1">
      <c r="B1221" s="3"/>
      <c r="C1221" s="3"/>
      <c r="D1221" s="3"/>
      <c r="E1221" s="3"/>
      <c r="F1221" s="3"/>
      <c r="G1221" s="22"/>
      <c r="H1221" s="22"/>
      <c r="I1221" s="22"/>
      <c r="J1221" s="4"/>
      <c r="K1221" s="4"/>
      <c r="L1221" s="4"/>
      <c r="M1221" s="4"/>
      <c r="N1221" s="4"/>
      <c r="O1221" s="3"/>
      <c r="P1221" s="3"/>
    </row>
    <row r="1222" spans="2:16" ht="19.5" customHeight="1">
      <c r="B1222" s="3"/>
      <c r="C1222" s="3"/>
      <c r="D1222" s="3"/>
      <c r="E1222" s="3"/>
      <c r="F1222" s="3"/>
      <c r="G1222" s="22"/>
      <c r="H1222" s="22"/>
      <c r="I1222" s="22"/>
      <c r="J1222" s="4"/>
      <c r="K1222" s="4"/>
      <c r="L1222" s="4"/>
      <c r="M1222" s="4"/>
      <c r="N1222" s="4"/>
      <c r="O1222" s="3"/>
      <c r="P1222" s="3"/>
    </row>
    <row r="1223" spans="2:16" ht="19.5" customHeight="1">
      <c r="B1223" s="3"/>
      <c r="C1223" s="3"/>
      <c r="D1223" s="3"/>
      <c r="E1223" s="3"/>
      <c r="F1223" s="3"/>
      <c r="G1223" s="22"/>
      <c r="H1223" s="22"/>
      <c r="I1223" s="22"/>
      <c r="J1223" s="4"/>
      <c r="K1223" s="4"/>
      <c r="L1223" s="4"/>
      <c r="M1223" s="4"/>
      <c r="N1223" s="4"/>
      <c r="O1223" s="3"/>
      <c r="P1223" s="3"/>
    </row>
    <row r="1224" spans="2:16" ht="19.5" customHeight="1">
      <c r="B1224" s="3"/>
      <c r="C1224" s="3"/>
      <c r="D1224" s="3"/>
      <c r="E1224" s="3"/>
      <c r="F1224" s="3"/>
      <c r="G1224" s="22"/>
      <c r="H1224" s="22"/>
      <c r="I1224" s="22"/>
      <c r="J1224" s="4"/>
      <c r="K1224" s="4"/>
      <c r="L1224" s="4"/>
      <c r="M1224" s="4"/>
      <c r="N1224" s="4"/>
      <c r="O1224" s="3"/>
      <c r="P1224" s="3"/>
    </row>
    <row r="1225" spans="2:16" ht="19.5" customHeight="1">
      <c r="B1225" s="3"/>
      <c r="C1225" s="3"/>
      <c r="D1225" s="3"/>
      <c r="E1225" s="3"/>
      <c r="F1225" s="3"/>
      <c r="G1225" s="22"/>
      <c r="H1225" s="22"/>
      <c r="I1225" s="22"/>
      <c r="J1225" s="4"/>
      <c r="K1225" s="4"/>
      <c r="L1225" s="4"/>
      <c r="M1225" s="4"/>
      <c r="N1225" s="4"/>
      <c r="O1225" s="3"/>
      <c r="P1225" s="3"/>
    </row>
    <row r="1226" spans="2:16" ht="19.5" customHeight="1">
      <c r="B1226" s="3"/>
      <c r="C1226" s="3"/>
      <c r="D1226" s="3"/>
      <c r="E1226" s="3"/>
      <c r="F1226" s="3"/>
      <c r="G1226" s="22"/>
      <c r="H1226" s="22"/>
      <c r="I1226" s="22"/>
      <c r="J1226" s="4"/>
      <c r="K1226" s="4"/>
      <c r="L1226" s="4"/>
      <c r="M1226" s="4"/>
      <c r="N1226" s="4"/>
      <c r="O1226" s="3"/>
      <c r="P1226" s="3"/>
    </row>
    <row r="1227" spans="2:16" ht="19.5" customHeight="1">
      <c r="B1227" s="3"/>
      <c r="C1227" s="3"/>
      <c r="D1227" s="3"/>
      <c r="E1227" s="3"/>
      <c r="F1227" s="3"/>
      <c r="G1227" s="22"/>
      <c r="H1227" s="22"/>
      <c r="I1227" s="22"/>
      <c r="J1227" s="4"/>
      <c r="K1227" s="4"/>
      <c r="L1227" s="4"/>
      <c r="M1227" s="4"/>
      <c r="N1227" s="4"/>
      <c r="O1227" s="3"/>
      <c r="P1227" s="3"/>
    </row>
    <row r="1228" spans="2:16" ht="19.5" customHeight="1">
      <c r="B1228" s="3"/>
      <c r="C1228" s="3"/>
      <c r="D1228" s="3"/>
      <c r="E1228" s="3"/>
      <c r="F1228" s="3"/>
      <c r="G1228" s="22"/>
      <c r="H1228" s="22"/>
      <c r="I1228" s="22"/>
      <c r="J1228" s="4"/>
      <c r="K1228" s="4"/>
      <c r="L1228" s="4"/>
      <c r="M1228" s="4"/>
      <c r="N1228" s="4"/>
      <c r="O1228" s="3"/>
      <c r="P1228" s="3"/>
    </row>
    <row r="1229" spans="2:16" ht="19.5" customHeight="1">
      <c r="B1229" s="3"/>
      <c r="C1229" s="3"/>
      <c r="D1229" s="3"/>
      <c r="E1229" s="3"/>
      <c r="F1229" s="3"/>
      <c r="G1229" s="22"/>
      <c r="H1229" s="22"/>
      <c r="I1229" s="22"/>
      <c r="J1229" s="4"/>
      <c r="K1229" s="4"/>
      <c r="L1229" s="4"/>
      <c r="M1229" s="4"/>
      <c r="N1229" s="4"/>
      <c r="O1229" s="3"/>
      <c r="P1229" s="3"/>
    </row>
    <row r="1230" spans="2:16" ht="19.5" customHeight="1">
      <c r="B1230" s="3"/>
      <c r="C1230" s="3"/>
      <c r="D1230" s="3"/>
      <c r="E1230" s="3"/>
      <c r="F1230" s="3"/>
      <c r="G1230" s="22"/>
      <c r="H1230" s="22"/>
      <c r="I1230" s="22"/>
      <c r="J1230" s="4"/>
      <c r="K1230" s="4"/>
      <c r="L1230" s="4"/>
      <c r="M1230" s="4"/>
      <c r="N1230" s="4"/>
      <c r="O1230" s="3"/>
      <c r="P1230" s="3"/>
    </row>
    <row r="1231" spans="2:16" ht="19.5" customHeight="1">
      <c r="B1231" s="3"/>
      <c r="C1231" s="3"/>
      <c r="D1231" s="3"/>
      <c r="E1231" s="3"/>
      <c r="F1231" s="3"/>
      <c r="G1231" s="22"/>
      <c r="H1231" s="22"/>
      <c r="I1231" s="22"/>
      <c r="J1231" s="4"/>
      <c r="K1231" s="4"/>
      <c r="L1231" s="4"/>
      <c r="M1231" s="4"/>
      <c r="N1231" s="4"/>
      <c r="O1231" s="3"/>
      <c r="P1231" s="3"/>
    </row>
    <row r="1232" spans="2:16" ht="19.5" customHeight="1">
      <c r="B1232" s="3"/>
      <c r="C1232" s="3"/>
      <c r="D1232" s="3"/>
      <c r="E1232" s="3"/>
      <c r="F1232" s="3"/>
      <c r="G1232" s="22"/>
      <c r="H1232" s="22"/>
      <c r="I1232" s="22"/>
      <c r="J1232" s="4"/>
      <c r="K1232" s="4"/>
      <c r="L1232" s="4"/>
      <c r="M1232" s="4"/>
      <c r="N1232" s="4"/>
      <c r="O1232" s="3"/>
      <c r="P1232" s="3"/>
    </row>
    <row r="1233" spans="2:16" ht="19.5" customHeight="1">
      <c r="B1233" s="3"/>
      <c r="C1233" s="3"/>
      <c r="D1233" s="3"/>
      <c r="E1233" s="3"/>
      <c r="F1233" s="3"/>
      <c r="G1233" s="22"/>
      <c r="H1233" s="22"/>
      <c r="I1233" s="22"/>
      <c r="J1233" s="4"/>
      <c r="K1233" s="4"/>
      <c r="L1233" s="4"/>
      <c r="M1233" s="4"/>
      <c r="N1233" s="4"/>
      <c r="O1233" s="3"/>
      <c r="P1233" s="3"/>
    </row>
    <row r="1234" spans="2:16" ht="19.5" customHeight="1">
      <c r="B1234" s="3"/>
      <c r="C1234" s="3"/>
      <c r="D1234" s="3"/>
      <c r="E1234" s="3"/>
      <c r="F1234" s="3"/>
      <c r="G1234" s="22"/>
      <c r="H1234" s="22"/>
      <c r="I1234" s="22"/>
      <c r="J1234" s="4"/>
      <c r="K1234" s="4"/>
      <c r="L1234" s="4"/>
      <c r="M1234" s="4"/>
      <c r="N1234" s="4"/>
      <c r="O1234" s="3"/>
      <c r="P1234" s="3"/>
    </row>
    <row r="1235" spans="2:16" ht="19.5" customHeight="1">
      <c r="B1235" s="3"/>
      <c r="C1235" s="3"/>
      <c r="D1235" s="3"/>
      <c r="E1235" s="3"/>
      <c r="F1235" s="3"/>
      <c r="G1235" s="22"/>
      <c r="H1235" s="22"/>
      <c r="I1235" s="22"/>
      <c r="J1235" s="4"/>
      <c r="K1235" s="4"/>
      <c r="L1235" s="4"/>
      <c r="M1235" s="4"/>
      <c r="N1235" s="4"/>
      <c r="O1235" s="3"/>
      <c r="P1235" s="3"/>
    </row>
    <row r="1236" spans="2:16" ht="19.5" customHeight="1">
      <c r="B1236" s="3"/>
      <c r="C1236" s="3"/>
      <c r="D1236" s="3"/>
      <c r="E1236" s="3"/>
      <c r="F1236" s="3"/>
      <c r="G1236" s="22"/>
      <c r="H1236" s="22"/>
      <c r="I1236" s="22"/>
      <c r="J1236" s="4"/>
      <c r="K1236" s="4"/>
      <c r="L1236" s="4"/>
      <c r="M1236" s="4"/>
      <c r="N1236" s="4"/>
      <c r="O1236" s="3"/>
      <c r="P1236" s="3"/>
    </row>
    <row r="1237" spans="2:16" ht="19.5" customHeight="1">
      <c r="B1237" s="3"/>
      <c r="C1237" s="3"/>
      <c r="D1237" s="3"/>
      <c r="E1237" s="3"/>
      <c r="F1237" s="3"/>
      <c r="G1237" s="22"/>
      <c r="H1237" s="22"/>
      <c r="I1237" s="22"/>
      <c r="J1237" s="4"/>
      <c r="K1237" s="4"/>
      <c r="L1237" s="4"/>
      <c r="M1237" s="4"/>
      <c r="N1237" s="4"/>
      <c r="O1237" s="3"/>
      <c r="P1237" s="3"/>
    </row>
    <row r="1238" spans="2:16" ht="19.5" customHeight="1">
      <c r="B1238" s="3"/>
      <c r="C1238" s="3"/>
      <c r="D1238" s="3"/>
      <c r="E1238" s="3"/>
      <c r="F1238" s="3"/>
      <c r="G1238" s="22"/>
      <c r="H1238" s="22"/>
      <c r="I1238" s="22"/>
      <c r="J1238" s="4"/>
      <c r="K1238" s="4"/>
      <c r="L1238" s="4"/>
      <c r="M1238" s="4"/>
      <c r="N1238" s="4"/>
      <c r="O1238" s="3"/>
      <c r="P1238" s="3"/>
    </row>
    <row r="1239" spans="2:16" ht="19.5" customHeight="1">
      <c r="B1239" s="3"/>
      <c r="C1239" s="3"/>
      <c r="D1239" s="3"/>
      <c r="E1239" s="3"/>
      <c r="F1239" s="3"/>
      <c r="G1239" s="22"/>
      <c r="H1239" s="22"/>
      <c r="I1239" s="22"/>
      <c r="J1239" s="4"/>
      <c r="K1239" s="4"/>
      <c r="L1239" s="4"/>
      <c r="M1239" s="4"/>
      <c r="N1239" s="4"/>
      <c r="O1239" s="3"/>
      <c r="P1239" s="3"/>
    </row>
    <row r="1240" spans="2:16" ht="19.5" customHeight="1">
      <c r="B1240" s="3"/>
      <c r="C1240" s="3"/>
      <c r="D1240" s="3"/>
      <c r="E1240" s="3"/>
      <c r="F1240" s="3"/>
      <c r="G1240" s="22"/>
      <c r="H1240" s="22"/>
      <c r="I1240" s="22"/>
      <c r="J1240" s="4"/>
      <c r="K1240" s="4"/>
      <c r="L1240" s="4"/>
      <c r="M1240" s="4"/>
      <c r="N1240" s="4"/>
      <c r="O1240" s="3"/>
      <c r="P1240" s="3"/>
    </row>
    <row r="1241" spans="2:16" ht="19.5" customHeight="1">
      <c r="B1241" s="3"/>
      <c r="C1241" s="3"/>
      <c r="D1241" s="3"/>
      <c r="E1241" s="3"/>
      <c r="F1241" s="3"/>
      <c r="G1241" s="22"/>
      <c r="H1241" s="22"/>
      <c r="I1241" s="22"/>
      <c r="J1241" s="4"/>
      <c r="K1241" s="4"/>
      <c r="L1241" s="4"/>
      <c r="M1241" s="4"/>
      <c r="N1241" s="4"/>
      <c r="O1241" s="3"/>
      <c r="P1241" s="3"/>
    </row>
    <row r="1242" spans="2:16" ht="19.5" customHeight="1">
      <c r="B1242" s="3"/>
      <c r="C1242" s="3"/>
      <c r="D1242" s="3"/>
      <c r="E1242" s="3"/>
      <c r="F1242" s="3"/>
      <c r="G1242" s="22"/>
      <c r="H1242" s="22"/>
      <c r="I1242" s="22"/>
      <c r="J1242" s="4"/>
      <c r="K1242" s="4"/>
      <c r="L1242" s="4"/>
      <c r="M1242" s="4"/>
      <c r="N1242" s="4"/>
      <c r="O1242" s="3"/>
      <c r="P1242" s="3"/>
    </row>
    <row r="1243" spans="2:16" ht="19.5" customHeight="1">
      <c r="B1243" s="3"/>
      <c r="C1243" s="3"/>
      <c r="D1243" s="3"/>
      <c r="E1243" s="3"/>
      <c r="F1243" s="3"/>
      <c r="G1243" s="22"/>
      <c r="H1243" s="22"/>
      <c r="I1243" s="22"/>
      <c r="J1243" s="4"/>
      <c r="K1243" s="4"/>
      <c r="L1243" s="4"/>
      <c r="M1243" s="4"/>
      <c r="N1243" s="4"/>
      <c r="O1243" s="3"/>
      <c r="P1243" s="3"/>
    </row>
    <row r="1244" spans="2:16" ht="19.5" customHeight="1">
      <c r="B1244" s="3"/>
      <c r="C1244" s="3"/>
      <c r="D1244" s="3"/>
      <c r="E1244" s="3"/>
      <c r="F1244" s="3"/>
      <c r="G1244" s="22"/>
      <c r="H1244" s="22"/>
      <c r="I1244" s="22"/>
      <c r="J1244" s="4"/>
      <c r="K1244" s="4"/>
      <c r="L1244" s="4"/>
      <c r="M1244" s="4"/>
      <c r="N1244" s="4"/>
      <c r="O1244" s="3"/>
      <c r="P1244" s="3"/>
    </row>
    <row r="1245" spans="2:16" ht="19.5" customHeight="1">
      <c r="B1245" s="3"/>
      <c r="C1245" s="3"/>
      <c r="D1245" s="3"/>
      <c r="E1245" s="3"/>
      <c r="F1245" s="3"/>
      <c r="G1245" s="22"/>
      <c r="H1245" s="22"/>
      <c r="I1245" s="22"/>
      <c r="J1245" s="4"/>
      <c r="K1245" s="4"/>
      <c r="L1245" s="4"/>
      <c r="M1245" s="4"/>
      <c r="N1245" s="4"/>
      <c r="O1245" s="3"/>
      <c r="P1245" s="3"/>
    </row>
    <row r="1246" spans="2:16" ht="19.5" customHeight="1">
      <c r="B1246" s="3"/>
      <c r="C1246" s="3"/>
      <c r="D1246" s="3"/>
      <c r="E1246" s="3"/>
      <c r="F1246" s="3"/>
      <c r="G1246" s="22"/>
      <c r="H1246" s="22"/>
      <c r="I1246" s="22"/>
      <c r="J1246" s="4"/>
      <c r="K1246" s="4"/>
      <c r="L1246" s="4"/>
      <c r="M1246" s="4"/>
      <c r="N1246" s="4"/>
      <c r="O1246" s="3"/>
      <c r="P1246" s="3"/>
    </row>
    <row r="1247" spans="2:16" ht="19.5" customHeight="1">
      <c r="B1247" s="3"/>
      <c r="C1247" s="3"/>
      <c r="D1247" s="3"/>
      <c r="E1247" s="3"/>
      <c r="F1247" s="3"/>
      <c r="G1247" s="22"/>
      <c r="H1247" s="22"/>
      <c r="I1247" s="22"/>
      <c r="J1247" s="4"/>
      <c r="K1247" s="4"/>
      <c r="L1247" s="4"/>
      <c r="M1247" s="4"/>
      <c r="N1247" s="4"/>
      <c r="O1247" s="3"/>
      <c r="P1247" s="3"/>
    </row>
    <row r="1248" spans="2:16" ht="19.5" customHeight="1">
      <c r="B1248" s="3"/>
      <c r="C1248" s="3"/>
      <c r="D1248" s="3"/>
      <c r="E1248" s="3"/>
      <c r="F1248" s="3"/>
      <c r="G1248" s="22"/>
      <c r="H1248" s="22"/>
      <c r="I1248" s="22"/>
      <c r="J1248" s="4"/>
      <c r="K1248" s="4"/>
      <c r="L1248" s="4"/>
      <c r="M1248" s="4"/>
      <c r="N1248" s="4"/>
      <c r="O1248" s="3"/>
      <c r="P1248" s="3"/>
    </row>
    <row r="1249" spans="2:16" ht="19.5" customHeight="1">
      <c r="B1249" s="3"/>
      <c r="C1249" s="3"/>
      <c r="D1249" s="3"/>
      <c r="E1249" s="3"/>
      <c r="F1249" s="3"/>
      <c r="G1249" s="22"/>
      <c r="H1249" s="22"/>
      <c r="I1249" s="22"/>
      <c r="J1249" s="4"/>
      <c r="K1249" s="4"/>
      <c r="L1249" s="4"/>
      <c r="M1249" s="4"/>
      <c r="N1249" s="4"/>
      <c r="O1249" s="3"/>
      <c r="P1249" s="3"/>
    </row>
    <row r="1250" spans="2:16" ht="19.5" customHeight="1">
      <c r="B1250" s="3"/>
      <c r="C1250" s="3"/>
      <c r="D1250" s="3"/>
      <c r="E1250" s="3"/>
      <c r="F1250" s="3"/>
      <c r="G1250" s="22"/>
      <c r="H1250" s="22"/>
      <c r="I1250" s="22"/>
      <c r="J1250" s="4"/>
      <c r="K1250" s="4"/>
      <c r="L1250" s="4"/>
      <c r="M1250" s="4"/>
      <c r="N1250" s="4"/>
      <c r="O1250" s="3"/>
      <c r="P1250" s="3"/>
    </row>
    <row r="1251" spans="2:16" ht="19.5" customHeight="1">
      <c r="B1251" s="3"/>
      <c r="C1251" s="3"/>
      <c r="D1251" s="3"/>
      <c r="E1251" s="3"/>
      <c r="F1251" s="3"/>
      <c r="G1251" s="22"/>
      <c r="H1251" s="22"/>
      <c r="I1251" s="22"/>
      <c r="J1251" s="4"/>
      <c r="K1251" s="4"/>
      <c r="L1251" s="4"/>
      <c r="M1251" s="4"/>
      <c r="N1251" s="4"/>
      <c r="O1251" s="3"/>
      <c r="P1251" s="3"/>
    </row>
    <row r="1252" spans="2:16" ht="19.5" customHeight="1">
      <c r="B1252" s="3"/>
      <c r="C1252" s="3"/>
      <c r="D1252" s="3"/>
      <c r="E1252" s="3"/>
      <c r="F1252" s="3"/>
      <c r="G1252" s="22"/>
      <c r="H1252" s="22"/>
      <c r="I1252" s="22"/>
      <c r="J1252" s="4"/>
      <c r="K1252" s="4"/>
      <c r="L1252" s="4"/>
      <c r="M1252" s="4"/>
      <c r="N1252" s="4"/>
      <c r="O1252" s="3"/>
      <c r="P1252" s="3"/>
    </row>
    <row r="1253" spans="2:16" ht="19.5" customHeight="1">
      <c r="B1253" s="3"/>
      <c r="C1253" s="3"/>
      <c r="D1253" s="3"/>
      <c r="E1253" s="3"/>
      <c r="F1253" s="3"/>
      <c r="G1253" s="22"/>
      <c r="H1253" s="22"/>
      <c r="I1253" s="22"/>
      <c r="J1253" s="4"/>
      <c r="K1253" s="4"/>
      <c r="L1253" s="4"/>
      <c r="M1253" s="4"/>
      <c r="N1253" s="4"/>
      <c r="O1253" s="3"/>
      <c r="P1253" s="3"/>
    </row>
    <row r="1254" spans="2:16" ht="19.5" customHeight="1">
      <c r="B1254" s="3"/>
      <c r="C1254" s="3"/>
      <c r="D1254" s="3"/>
      <c r="E1254" s="3"/>
      <c r="F1254" s="3"/>
      <c r="G1254" s="22"/>
      <c r="H1254" s="22"/>
      <c r="I1254" s="22"/>
      <c r="J1254" s="4"/>
      <c r="K1254" s="4"/>
      <c r="L1254" s="4"/>
      <c r="M1254" s="4"/>
      <c r="N1254" s="4"/>
      <c r="O1254" s="3"/>
      <c r="P1254" s="3"/>
    </row>
    <row r="1255" spans="2:16" ht="19.5" customHeight="1">
      <c r="B1255" s="3"/>
      <c r="C1255" s="3"/>
      <c r="D1255" s="3"/>
      <c r="E1255" s="3"/>
      <c r="F1255" s="3"/>
      <c r="G1255" s="22"/>
      <c r="H1255" s="22"/>
      <c r="I1255" s="22"/>
      <c r="J1255" s="4"/>
      <c r="K1255" s="4"/>
      <c r="L1255" s="4"/>
      <c r="M1255" s="4"/>
      <c r="N1255" s="4"/>
      <c r="O1255" s="3"/>
      <c r="P1255" s="3"/>
    </row>
    <row r="1256" spans="2:16" ht="19.5" customHeight="1">
      <c r="B1256" s="3"/>
      <c r="C1256" s="3"/>
      <c r="D1256" s="3"/>
      <c r="E1256" s="3"/>
      <c r="F1256" s="3"/>
      <c r="G1256" s="22"/>
      <c r="H1256" s="22"/>
      <c r="I1256" s="22"/>
      <c r="J1256" s="4"/>
      <c r="K1256" s="4"/>
      <c r="L1256" s="4"/>
      <c r="M1256" s="4"/>
      <c r="N1256" s="4"/>
      <c r="O1256" s="3"/>
      <c r="P1256" s="3"/>
    </row>
    <row r="1257" spans="2:16" ht="19.5" customHeight="1">
      <c r="B1257" s="3"/>
      <c r="C1257" s="3"/>
      <c r="D1257" s="3"/>
      <c r="E1257" s="3"/>
      <c r="F1257" s="3"/>
      <c r="G1257" s="22"/>
      <c r="H1257" s="22"/>
      <c r="I1257" s="22"/>
      <c r="J1257" s="4"/>
      <c r="K1257" s="4"/>
      <c r="L1257" s="4"/>
      <c r="M1257" s="4"/>
      <c r="N1257" s="4"/>
      <c r="O1257" s="3"/>
      <c r="P1257" s="3"/>
    </row>
    <row r="1258" spans="2:16" ht="19.5" customHeight="1">
      <c r="B1258" s="3"/>
      <c r="C1258" s="3"/>
      <c r="D1258" s="3"/>
      <c r="E1258" s="3"/>
      <c r="F1258" s="3"/>
      <c r="G1258" s="22"/>
      <c r="H1258" s="22"/>
      <c r="I1258" s="22"/>
      <c r="J1258" s="4"/>
      <c r="K1258" s="4"/>
      <c r="L1258" s="4"/>
      <c r="M1258" s="4"/>
      <c r="N1258" s="4"/>
      <c r="O1258" s="3"/>
      <c r="P1258" s="3"/>
    </row>
    <row r="1259" spans="2:16" ht="19.5" customHeight="1">
      <c r="B1259" s="3"/>
      <c r="C1259" s="3"/>
      <c r="D1259" s="3"/>
      <c r="E1259" s="3"/>
      <c r="F1259" s="3"/>
      <c r="G1259" s="22"/>
      <c r="H1259" s="22"/>
      <c r="I1259" s="22"/>
      <c r="J1259" s="4"/>
      <c r="K1259" s="4"/>
      <c r="L1259" s="4"/>
      <c r="M1259" s="4"/>
      <c r="N1259" s="4"/>
      <c r="O1259" s="3"/>
      <c r="P1259" s="3"/>
    </row>
    <row r="1260" spans="2:16" ht="19.5" customHeight="1">
      <c r="B1260" s="3"/>
      <c r="C1260" s="3"/>
      <c r="D1260" s="3"/>
      <c r="E1260" s="3"/>
      <c r="F1260" s="3"/>
      <c r="G1260" s="22"/>
      <c r="H1260" s="22"/>
      <c r="I1260" s="22"/>
      <c r="J1260" s="4"/>
      <c r="K1260" s="4"/>
      <c r="L1260" s="4"/>
      <c r="M1260" s="4"/>
      <c r="N1260" s="4"/>
      <c r="O1260" s="3"/>
      <c r="P1260" s="3"/>
    </row>
    <row r="1261" spans="2:16" ht="19.5" customHeight="1">
      <c r="B1261" s="3"/>
      <c r="C1261" s="3"/>
      <c r="D1261" s="3"/>
      <c r="E1261" s="3"/>
      <c r="F1261" s="3"/>
      <c r="G1261" s="22"/>
      <c r="H1261" s="22"/>
      <c r="I1261" s="22"/>
      <c r="J1261" s="4"/>
      <c r="K1261" s="4"/>
      <c r="L1261" s="4"/>
      <c r="M1261" s="4"/>
      <c r="N1261" s="4"/>
      <c r="O1261" s="3"/>
      <c r="P1261" s="3"/>
    </row>
    <row r="1262" spans="2:16" ht="19.5" customHeight="1">
      <c r="B1262" s="3"/>
      <c r="C1262" s="3"/>
      <c r="D1262" s="3"/>
      <c r="E1262" s="3"/>
      <c r="F1262" s="3"/>
      <c r="G1262" s="22"/>
      <c r="H1262" s="22"/>
      <c r="I1262" s="22"/>
      <c r="J1262" s="4"/>
      <c r="K1262" s="4"/>
      <c r="L1262" s="4"/>
      <c r="M1262" s="4"/>
      <c r="N1262" s="4"/>
      <c r="O1262" s="3"/>
      <c r="P1262" s="3"/>
    </row>
    <row r="1263" spans="2:16" ht="19.5" customHeight="1">
      <c r="B1263" s="3"/>
      <c r="C1263" s="3"/>
      <c r="D1263" s="3"/>
      <c r="E1263" s="3"/>
      <c r="F1263" s="3"/>
      <c r="G1263" s="22"/>
      <c r="H1263" s="22"/>
      <c r="I1263" s="22"/>
      <c r="J1263" s="4"/>
      <c r="K1263" s="4"/>
      <c r="L1263" s="4"/>
      <c r="M1263" s="4"/>
      <c r="N1263" s="4"/>
      <c r="O1263" s="3"/>
      <c r="P1263" s="3"/>
    </row>
    <row r="1264" spans="2:16" ht="19.5" customHeight="1">
      <c r="B1264" s="3"/>
      <c r="C1264" s="3"/>
      <c r="D1264" s="3"/>
      <c r="E1264" s="3"/>
      <c r="F1264" s="3"/>
      <c r="G1264" s="22"/>
      <c r="H1264" s="22"/>
      <c r="I1264" s="22"/>
      <c r="J1264" s="4"/>
      <c r="K1264" s="4"/>
      <c r="L1264" s="4"/>
      <c r="M1264" s="4"/>
      <c r="N1264" s="4"/>
      <c r="O1264" s="3"/>
      <c r="P1264" s="3"/>
    </row>
    <row r="1265" spans="2:16" ht="19.5" customHeight="1">
      <c r="B1265" s="3"/>
      <c r="C1265" s="3"/>
      <c r="D1265" s="3"/>
      <c r="E1265" s="3"/>
      <c r="F1265" s="3"/>
      <c r="G1265" s="22"/>
      <c r="H1265" s="22"/>
      <c r="I1265" s="22"/>
      <c r="J1265" s="4"/>
      <c r="K1265" s="4"/>
      <c r="L1265" s="4"/>
      <c r="M1265" s="4"/>
      <c r="N1265" s="4"/>
      <c r="O1265" s="3"/>
      <c r="P1265" s="3"/>
    </row>
    <row r="1266" spans="2:16" ht="19.5" customHeight="1">
      <c r="B1266" s="3"/>
      <c r="C1266" s="3"/>
      <c r="D1266" s="3"/>
      <c r="E1266" s="3"/>
      <c r="F1266" s="3"/>
      <c r="G1266" s="22"/>
      <c r="H1266" s="22"/>
      <c r="I1266" s="22"/>
      <c r="J1266" s="4"/>
      <c r="K1266" s="4"/>
      <c r="L1266" s="4"/>
      <c r="M1266" s="4"/>
      <c r="N1266" s="4"/>
      <c r="O1266" s="3"/>
      <c r="P1266" s="3"/>
    </row>
    <row r="1267" spans="2:16" ht="19.5" customHeight="1">
      <c r="B1267" s="3"/>
      <c r="C1267" s="3"/>
      <c r="D1267" s="3"/>
      <c r="E1267" s="3"/>
      <c r="F1267" s="3"/>
      <c r="G1267" s="22"/>
      <c r="H1267" s="22"/>
      <c r="I1267" s="22"/>
      <c r="J1267" s="4"/>
      <c r="K1267" s="4"/>
      <c r="L1267" s="4"/>
      <c r="M1267" s="4"/>
      <c r="N1267" s="4"/>
      <c r="O1267" s="3"/>
      <c r="P1267" s="3"/>
    </row>
    <row r="1268" spans="2:16" ht="19.5" customHeight="1">
      <c r="B1268" s="3"/>
      <c r="C1268" s="3"/>
      <c r="D1268" s="3"/>
      <c r="E1268" s="3"/>
      <c r="F1268" s="3"/>
      <c r="G1268" s="22"/>
      <c r="H1268" s="22"/>
      <c r="I1268" s="22"/>
      <c r="J1268" s="4"/>
      <c r="K1268" s="4"/>
      <c r="L1268" s="4"/>
      <c r="M1268" s="4"/>
      <c r="N1268" s="4"/>
      <c r="O1268" s="3"/>
      <c r="P1268" s="3"/>
    </row>
    <row r="1269" spans="2:16" ht="19.5" customHeight="1">
      <c r="B1269" s="3"/>
      <c r="C1269" s="3"/>
      <c r="D1269" s="3"/>
      <c r="E1269" s="3"/>
      <c r="F1269" s="3"/>
      <c r="G1269" s="22"/>
      <c r="H1269" s="22"/>
      <c r="I1269" s="22"/>
      <c r="J1269" s="4"/>
      <c r="K1269" s="4"/>
      <c r="L1269" s="4"/>
      <c r="M1269" s="4"/>
      <c r="N1269" s="4"/>
      <c r="O1269" s="3"/>
      <c r="P1269" s="3"/>
    </row>
    <row r="1270" spans="2:16" ht="19.5" customHeight="1">
      <c r="B1270" s="3"/>
      <c r="C1270" s="3"/>
      <c r="D1270" s="3"/>
      <c r="E1270" s="3"/>
      <c r="F1270" s="3"/>
      <c r="G1270" s="22"/>
      <c r="H1270" s="22"/>
      <c r="I1270" s="22"/>
      <c r="J1270" s="4"/>
      <c r="K1270" s="4"/>
      <c r="L1270" s="4"/>
      <c r="M1270" s="4"/>
      <c r="N1270" s="4"/>
      <c r="O1270" s="3"/>
      <c r="P1270" s="3"/>
    </row>
    <row r="1271" spans="2:16" ht="19.5" customHeight="1">
      <c r="B1271" s="3"/>
      <c r="C1271" s="3"/>
      <c r="D1271" s="3"/>
      <c r="E1271" s="3"/>
      <c r="F1271" s="3"/>
      <c r="G1271" s="22"/>
      <c r="H1271" s="22"/>
      <c r="I1271" s="22"/>
      <c r="J1271" s="4"/>
      <c r="K1271" s="4"/>
      <c r="L1271" s="4"/>
      <c r="M1271" s="4"/>
      <c r="N1271" s="4"/>
      <c r="O1271" s="3"/>
      <c r="P1271" s="3"/>
    </row>
    <row r="1272" spans="2:16" ht="19.5" customHeight="1">
      <c r="B1272" s="3"/>
      <c r="C1272" s="3"/>
      <c r="D1272" s="3"/>
      <c r="E1272" s="3"/>
      <c r="F1272" s="3"/>
      <c r="G1272" s="22"/>
      <c r="H1272" s="22"/>
      <c r="I1272" s="22"/>
      <c r="J1272" s="4"/>
      <c r="K1272" s="4"/>
      <c r="L1272" s="4"/>
      <c r="M1272" s="4"/>
      <c r="N1272" s="4"/>
      <c r="O1272" s="3"/>
      <c r="P1272" s="3"/>
    </row>
    <row r="1273" spans="2:16" ht="19.5" customHeight="1">
      <c r="B1273" s="3"/>
      <c r="C1273" s="3"/>
      <c r="D1273" s="3"/>
      <c r="E1273" s="3"/>
      <c r="F1273" s="3"/>
      <c r="G1273" s="22"/>
      <c r="H1273" s="22"/>
      <c r="I1273" s="22"/>
      <c r="J1273" s="4"/>
      <c r="K1273" s="4"/>
      <c r="L1273" s="4"/>
      <c r="M1273" s="4"/>
      <c r="N1273" s="4"/>
      <c r="O1273" s="3"/>
      <c r="P1273" s="3"/>
    </row>
    <row r="1274" spans="2:16" ht="19.5" customHeight="1">
      <c r="B1274" s="3"/>
      <c r="C1274" s="3"/>
      <c r="D1274" s="3"/>
      <c r="E1274" s="3"/>
      <c r="F1274" s="3"/>
      <c r="G1274" s="22"/>
      <c r="H1274" s="22"/>
      <c r="I1274" s="22"/>
      <c r="J1274" s="4"/>
      <c r="K1274" s="4"/>
      <c r="L1274" s="4"/>
      <c r="M1274" s="4"/>
      <c r="N1274" s="4"/>
      <c r="O1274" s="3"/>
      <c r="P1274" s="3"/>
    </row>
    <row r="1275" spans="2:16" ht="19.5" customHeight="1">
      <c r="B1275" s="3"/>
      <c r="C1275" s="3"/>
      <c r="D1275" s="3"/>
      <c r="E1275" s="3"/>
      <c r="F1275" s="3"/>
      <c r="G1275" s="22"/>
      <c r="H1275" s="22"/>
      <c r="I1275" s="22"/>
      <c r="J1275" s="4"/>
      <c r="K1275" s="4"/>
      <c r="L1275" s="4"/>
      <c r="M1275" s="4"/>
      <c r="N1275" s="4"/>
      <c r="O1275" s="3"/>
      <c r="P1275" s="3"/>
    </row>
    <row r="1276" spans="2:16" ht="19.5" customHeight="1">
      <c r="B1276" s="3"/>
      <c r="C1276" s="3"/>
      <c r="D1276" s="3"/>
      <c r="E1276" s="3"/>
      <c r="F1276" s="3"/>
      <c r="G1276" s="22"/>
      <c r="H1276" s="22"/>
      <c r="I1276" s="22"/>
      <c r="J1276" s="4"/>
      <c r="K1276" s="4"/>
      <c r="L1276" s="4"/>
      <c r="M1276" s="4"/>
      <c r="N1276" s="4"/>
      <c r="O1276" s="3"/>
      <c r="P1276" s="3"/>
    </row>
    <row r="1277" spans="2:16" ht="19.5" customHeight="1">
      <c r="B1277" s="3"/>
      <c r="C1277" s="3"/>
      <c r="D1277" s="3"/>
      <c r="E1277" s="3"/>
      <c r="F1277" s="3"/>
      <c r="G1277" s="22"/>
      <c r="H1277" s="22"/>
      <c r="I1277" s="22"/>
      <c r="J1277" s="4"/>
      <c r="K1277" s="4"/>
      <c r="L1277" s="4"/>
      <c r="M1277" s="4"/>
      <c r="N1277" s="4"/>
      <c r="O1277" s="3"/>
      <c r="P1277" s="3"/>
    </row>
    <row r="1278" spans="2:16" ht="19.5" customHeight="1">
      <c r="B1278" s="3"/>
      <c r="C1278" s="3"/>
      <c r="D1278" s="3"/>
      <c r="E1278" s="3"/>
      <c r="F1278" s="3"/>
      <c r="G1278" s="22"/>
      <c r="H1278" s="22"/>
      <c r="I1278" s="22"/>
      <c r="J1278" s="4"/>
      <c r="K1278" s="4"/>
      <c r="L1278" s="4"/>
      <c r="M1278" s="4"/>
      <c r="N1278" s="4"/>
      <c r="O1278" s="3"/>
      <c r="P1278" s="3"/>
    </row>
    <row r="1279" spans="2:16" ht="19.5" customHeight="1">
      <c r="B1279" s="3"/>
      <c r="C1279" s="3"/>
      <c r="D1279" s="3"/>
      <c r="E1279" s="3"/>
      <c r="F1279" s="3"/>
      <c r="G1279" s="22"/>
      <c r="H1279" s="22"/>
      <c r="I1279" s="22"/>
      <c r="J1279" s="4"/>
      <c r="K1279" s="4"/>
      <c r="L1279" s="4"/>
      <c r="M1279" s="4"/>
      <c r="N1279" s="4"/>
      <c r="O1279" s="3"/>
      <c r="P1279" s="3"/>
    </row>
    <row r="1280" spans="2:16" ht="19.5" customHeight="1">
      <c r="B1280" s="3"/>
      <c r="C1280" s="3"/>
      <c r="D1280" s="3"/>
      <c r="E1280" s="3"/>
      <c r="F1280" s="3"/>
      <c r="G1280" s="22"/>
      <c r="H1280" s="22"/>
      <c r="I1280" s="22"/>
      <c r="J1280" s="4"/>
      <c r="K1280" s="4"/>
      <c r="L1280" s="4"/>
      <c r="M1280" s="4"/>
      <c r="N1280" s="4"/>
      <c r="O1280" s="3"/>
      <c r="P1280" s="3"/>
    </row>
    <row r="1281" spans="2:16" ht="19.5" customHeight="1">
      <c r="B1281" s="3"/>
      <c r="C1281" s="3"/>
      <c r="D1281" s="3"/>
      <c r="E1281" s="3"/>
      <c r="F1281" s="3"/>
      <c r="G1281" s="22"/>
      <c r="H1281" s="22"/>
      <c r="I1281" s="22"/>
      <c r="J1281" s="4"/>
      <c r="K1281" s="4"/>
      <c r="L1281" s="4"/>
      <c r="M1281" s="4"/>
      <c r="N1281" s="4"/>
      <c r="O1281" s="3"/>
      <c r="P1281" s="3"/>
    </row>
    <row r="1282" spans="2:16" ht="19.5" customHeight="1">
      <c r="B1282" s="3"/>
      <c r="C1282" s="3"/>
      <c r="D1282" s="3"/>
      <c r="E1282" s="3"/>
      <c r="F1282" s="3"/>
      <c r="G1282" s="22"/>
      <c r="H1282" s="22"/>
      <c r="I1282" s="22"/>
      <c r="J1282" s="4"/>
      <c r="K1282" s="4"/>
      <c r="L1282" s="4"/>
      <c r="M1282" s="4"/>
      <c r="N1282" s="4"/>
      <c r="O1282" s="3"/>
      <c r="P1282" s="3"/>
    </row>
    <row r="1283" spans="2:16" ht="19.5" customHeight="1">
      <c r="B1283" s="3"/>
      <c r="C1283" s="3"/>
      <c r="D1283" s="3"/>
      <c r="E1283" s="3"/>
      <c r="F1283" s="3"/>
      <c r="G1283" s="22"/>
      <c r="H1283" s="22"/>
      <c r="I1283" s="22"/>
      <c r="J1283" s="4"/>
      <c r="K1283" s="4"/>
      <c r="L1283" s="4"/>
      <c r="M1283" s="4"/>
      <c r="N1283" s="4"/>
      <c r="O1283" s="3"/>
      <c r="P1283" s="3"/>
    </row>
    <row r="1284" spans="2:16" ht="19.5" customHeight="1">
      <c r="B1284" s="3"/>
      <c r="C1284" s="3"/>
      <c r="D1284" s="3"/>
      <c r="E1284" s="3"/>
      <c r="F1284" s="3"/>
      <c r="G1284" s="22"/>
      <c r="H1284" s="22"/>
      <c r="I1284" s="22"/>
      <c r="J1284" s="4"/>
      <c r="K1284" s="4"/>
      <c r="L1284" s="4"/>
      <c r="M1284" s="4"/>
      <c r="N1284" s="4"/>
      <c r="O1284" s="3"/>
      <c r="P1284" s="3"/>
    </row>
    <row r="1285" spans="2:16" ht="19.5" customHeight="1">
      <c r="B1285" s="3"/>
      <c r="C1285" s="3"/>
      <c r="D1285" s="3"/>
      <c r="E1285" s="3"/>
      <c r="F1285" s="3"/>
      <c r="G1285" s="22"/>
      <c r="H1285" s="22"/>
      <c r="I1285" s="22"/>
      <c r="J1285" s="4"/>
      <c r="K1285" s="4"/>
      <c r="L1285" s="4"/>
      <c r="M1285" s="4"/>
      <c r="N1285" s="4"/>
      <c r="O1285" s="3"/>
      <c r="P1285" s="3"/>
    </row>
    <row r="1286" spans="2:16" ht="19.5" customHeight="1">
      <c r="B1286" s="3"/>
      <c r="C1286" s="3"/>
      <c r="D1286" s="3"/>
      <c r="E1286" s="3"/>
      <c r="F1286" s="3"/>
      <c r="G1286" s="22"/>
      <c r="H1286" s="22"/>
      <c r="I1286" s="22"/>
      <c r="J1286" s="4"/>
      <c r="K1286" s="4"/>
      <c r="L1286" s="4"/>
      <c r="M1286" s="4"/>
      <c r="N1286" s="4"/>
      <c r="O1286" s="3"/>
      <c r="P1286" s="3"/>
    </row>
    <row r="1287" spans="2:16" ht="19.5" customHeight="1">
      <c r="B1287" s="3"/>
      <c r="C1287" s="3"/>
      <c r="D1287" s="3"/>
      <c r="E1287" s="3"/>
      <c r="F1287" s="3"/>
      <c r="G1287" s="22"/>
      <c r="H1287" s="22"/>
      <c r="I1287" s="22"/>
      <c r="J1287" s="4"/>
      <c r="K1287" s="4"/>
      <c r="L1287" s="4"/>
      <c r="M1287" s="4"/>
      <c r="N1287" s="4"/>
      <c r="O1287" s="3"/>
      <c r="P1287" s="3"/>
    </row>
    <row r="1288" spans="2:16" ht="19.5" customHeight="1">
      <c r="B1288" s="3"/>
      <c r="C1288" s="3"/>
      <c r="D1288" s="3"/>
      <c r="E1288" s="3"/>
      <c r="F1288" s="3"/>
      <c r="G1288" s="22"/>
      <c r="H1288" s="22"/>
      <c r="I1288" s="22"/>
      <c r="J1288" s="4"/>
      <c r="K1288" s="4"/>
      <c r="L1288" s="4"/>
      <c r="M1288" s="4"/>
      <c r="N1288" s="4"/>
      <c r="O1288" s="3"/>
      <c r="P1288" s="3"/>
    </row>
    <row r="1289" spans="2:16" ht="19.5" customHeight="1">
      <c r="B1289" s="3"/>
      <c r="C1289" s="3"/>
      <c r="D1289" s="3"/>
      <c r="E1289" s="3"/>
      <c r="F1289" s="3"/>
      <c r="G1289" s="22"/>
      <c r="H1289" s="22"/>
      <c r="I1289" s="22"/>
      <c r="J1289" s="4"/>
      <c r="K1289" s="4"/>
      <c r="L1289" s="4"/>
      <c r="M1289" s="4"/>
      <c r="N1289" s="4"/>
      <c r="O1289" s="3"/>
      <c r="P1289" s="3"/>
    </row>
    <row r="1290" spans="2:16" ht="19.5" customHeight="1">
      <c r="B1290" s="3"/>
      <c r="C1290" s="3"/>
      <c r="D1290" s="3"/>
      <c r="E1290" s="3"/>
      <c r="F1290" s="3"/>
      <c r="G1290" s="22"/>
      <c r="H1290" s="22"/>
      <c r="I1290" s="22"/>
      <c r="J1290" s="4"/>
      <c r="K1290" s="4"/>
      <c r="L1290" s="4"/>
      <c r="M1290" s="4"/>
      <c r="N1290" s="4"/>
      <c r="O1290" s="3"/>
      <c r="P1290" s="3"/>
    </row>
    <row r="1291" spans="2:16" ht="19.5" customHeight="1">
      <c r="B1291" s="3"/>
      <c r="C1291" s="3"/>
      <c r="D1291" s="3"/>
      <c r="E1291" s="3"/>
      <c r="F1291" s="3"/>
      <c r="G1291" s="22"/>
      <c r="H1291" s="22"/>
      <c r="I1291" s="22"/>
      <c r="J1291" s="4"/>
      <c r="K1291" s="4"/>
      <c r="L1291" s="4"/>
      <c r="M1291" s="4"/>
      <c r="N1291" s="4"/>
      <c r="O1291" s="3"/>
      <c r="P1291" s="3"/>
    </row>
    <row r="1292" spans="2:16" ht="19.5" customHeight="1">
      <c r="B1292" s="3"/>
      <c r="C1292" s="3"/>
      <c r="D1292" s="3"/>
      <c r="E1292" s="3"/>
      <c r="F1292" s="3"/>
      <c r="G1292" s="22"/>
      <c r="H1292" s="22"/>
      <c r="I1292" s="22"/>
      <c r="J1292" s="4"/>
      <c r="K1292" s="4"/>
      <c r="L1292" s="4"/>
      <c r="M1292" s="4"/>
      <c r="N1292" s="4"/>
      <c r="O1292" s="3"/>
      <c r="P1292" s="3"/>
    </row>
    <row r="1293" spans="2:16" ht="19.5" customHeight="1">
      <c r="B1293" s="3"/>
      <c r="C1293" s="3"/>
      <c r="D1293" s="3"/>
      <c r="E1293" s="3"/>
      <c r="F1293" s="3"/>
      <c r="G1293" s="22"/>
      <c r="H1293" s="22"/>
      <c r="I1293" s="22"/>
      <c r="J1293" s="4"/>
      <c r="K1293" s="4"/>
      <c r="L1293" s="4"/>
      <c r="M1293" s="4"/>
      <c r="N1293" s="4"/>
      <c r="O1293" s="3"/>
      <c r="P1293" s="3"/>
    </row>
    <row r="1294" spans="2:16" ht="19.5" customHeight="1">
      <c r="B1294" s="3"/>
      <c r="C1294" s="3"/>
      <c r="D1294" s="3"/>
      <c r="E1294" s="3"/>
      <c r="F1294" s="3"/>
      <c r="G1294" s="22"/>
      <c r="H1294" s="22"/>
      <c r="I1294" s="22"/>
      <c r="J1294" s="4"/>
      <c r="K1294" s="4"/>
      <c r="L1294" s="4"/>
      <c r="M1294" s="4"/>
      <c r="N1294" s="4"/>
      <c r="O1294" s="3"/>
      <c r="P1294" s="3"/>
    </row>
    <row r="1295" spans="2:16" ht="19.5" customHeight="1">
      <c r="B1295" s="3"/>
      <c r="C1295" s="3"/>
      <c r="D1295" s="3"/>
      <c r="E1295" s="3"/>
      <c r="F1295" s="3"/>
      <c r="G1295" s="22"/>
      <c r="H1295" s="22"/>
      <c r="I1295" s="22"/>
      <c r="J1295" s="4"/>
      <c r="K1295" s="4"/>
      <c r="L1295" s="4"/>
      <c r="M1295" s="4"/>
      <c r="N1295" s="4"/>
      <c r="O1295" s="3"/>
      <c r="P1295" s="3"/>
    </row>
    <row r="1296" spans="2:16" ht="19.5" customHeight="1">
      <c r="B1296" s="3"/>
      <c r="C1296" s="3"/>
      <c r="D1296" s="3"/>
      <c r="E1296" s="3"/>
      <c r="F1296" s="3"/>
      <c r="G1296" s="22"/>
      <c r="H1296" s="22"/>
      <c r="I1296" s="22"/>
      <c r="J1296" s="4"/>
      <c r="K1296" s="4"/>
      <c r="L1296" s="4"/>
      <c r="M1296" s="4"/>
      <c r="N1296" s="4"/>
      <c r="O1296" s="3"/>
      <c r="P1296" s="3"/>
    </row>
    <row r="1297" spans="2:16" ht="19.5" customHeight="1">
      <c r="B1297" s="3"/>
      <c r="C1297" s="3"/>
      <c r="D1297" s="3"/>
      <c r="E1297" s="3"/>
      <c r="F1297" s="3"/>
      <c r="G1297" s="22"/>
      <c r="H1297" s="22"/>
      <c r="I1297" s="22"/>
      <c r="J1297" s="4"/>
      <c r="K1297" s="4"/>
      <c r="L1297" s="4"/>
      <c r="M1297" s="4"/>
      <c r="N1297" s="4"/>
      <c r="O1297" s="3"/>
      <c r="P1297" s="3"/>
    </row>
    <row r="1298" spans="2:16" ht="19.5" customHeight="1">
      <c r="B1298" s="3"/>
      <c r="C1298" s="3"/>
      <c r="D1298" s="3"/>
      <c r="E1298" s="3"/>
      <c r="F1298" s="3"/>
      <c r="G1298" s="22"/>
      <c r="H1298" s="22"/>
      <c r="I1298" s="22"/>
      <c r="J1298" s="4"/>
      <c r="K1298" s="4"/>
      <c r="L1298" s="4"/>
      <c r="M1298" s="4"/>
      <c r="N1298" s="4"/>
      <c r="O1298" s="3"/>
      <c r="P1298" s="3"/>
    </row>
    <row r="1299" spans="2:16" ht="19.5" customHeight="1">
      <c r="B1299" s="3"/>
      <c r="C1299" s="3"/>
      <c r="D1299" s="3"/>
      <c r="E1299" s="3"/>
      <c r="F1299" s="3"/>
      <c r="G1299" s="22"/>
      <c r="H1299" s="22"/>
      <c r="I1299" s="22"/>
      <c r="J1299" s="4"/>
      <c r="K1299" s="4"/>
      <c r="L1299" s="4"/>
      <c r="M1299" s="4"/>
      <c r="N1299" s="4"/>
      <c r="O1299" s="3"/>
      <c r="P1299" s="3"/>
    </row>
    <row r="1300" spans="2:16" ht="19.5" customHeight="1">
      <c r="B1300" s="3"/>
      <c r="C1300" s="3"/>
      <c r="D1300" s="3"/>
      <c r="E1300" s="3"/>
      <c r="F1300" s="3"/>
      <c r="G1300" s="22"/>
      <c r="H1300" s="22"/>
      <c r="I1300" s="22"/>
      <c r="J1300" s="4"/>
      <c r="K1300" s="4"/>
      <c r="L1300" s="4"/>
      <c r="M1300" s="4"/>
      <c r="N1300" s="4"/>
      <c r="O1300" s="3"/>
      <c r="P1300" s="3"/>
    </row>
    <row r="1301" spans="2:16" ht="19.5" customHeight="1">
      <c r="B1301" s="3"/>
      <c r="C1301" s="3"/>
      <c r="D1301" s="3"/>
      <c r="E1301" s="3"/>
      <c r="F1301" s="3"/>
      <c r="G1301" s="22"/>
      <c r="H1301" s="22"/>
      <c r="I1301" s="22"/>
      <c r="J1301" s="4"/>
      <c r="K1301" s="4"/>
      <c r="L1301" s="4"/>
      <c r="M1301" s="4"/>
      <c r="N1301" s="4"/>
      <c r="O1301" s="3"/>
      <c r="P1301" s="3"/>
    </row>
    <row r="1302" spans="2:16" ht="19.5" customHeight="1">
      <c r="B1302" s="3"/>
      <c r="C1302" s="3"/>
      <c r="D1302" s="3"/>
      <c r="E1302" s="3"/>
      <c r="F1302" s="3"/>
      <c r="G1302" s="22"/>
      <c r="H1302" s="22"/>
      <c r="I1302" s="22"/>
      <c r="J1302" s="4"/>
      <c r="K1302" s="4"/>
      <c r="L1302" s="4"/>
      <c r="M1302" s="4"/>
      <c r="N1302" s="4"/>
      <c r="O1302" s="3"/>
      <c r="P1302" s="3"/>
    </row>
    <row r="1303" spans="2:16" ht="19.5" customHeight="1">
      <c r="B1303" s="3"/>
      <c r="C1303" s="3"/>
      <c r="D1303" s="3"/>
      <c r="E1303" s="3"/>
      <c r="F1303" s="3"/>
      <c r="G1303" s="22"/>
      <c r="H1303" s="22"/>
      <c r="I1303" s="22"/>
      <c r="J1303" s="4"/>
      <c r="K1303" s="4"/>
      <c r="L1303" s="4"/>
      <c r="M1303" s="4"/>
      <c r="N1303" s="4"/>
      <c r="O1303" s="3"/>
      <c r="P1303" s="3"/>
    </row>
    <row r="1304" spans="2:16" ht="19.5" customHeight="1">
      <c r="B1304" s="3"/>
      <c r="C1304" s="3"/>
      <c r="D1304" s="3"/>
      <c r="E1304" s="3"/>
      <c r="F1304" s="3"/>
      <c r="G1304" s="22"/>
      <c r="H1304" s="22"/>
      <c r="I1304" s="22"/>
      <c r="J1304" s="4"/>
      <c r="K1304" s="4"/>
      <c r="L1304" s="4"/>
      <c r="M1304" s="4"/>
      <c r="N1304" s="4"/>
      <c r="O1304" s="3"/>
      <c r="P1304" s="3"/>
    </row>
    <row r="1305" spans="2:16" ht="19.5" customHeight="1">
      <c r="B1305" s="3"/>
      <c r="C1305" s="3"/>
      <c r="D1305" s="3"/>
      <c r="E1305" s="3"/>
      <c r="F1305" s="3"/>
      <c r="G1305" s="22"/>
      <c r="H1305" s="22"/>
      <c r="I1305" s="22"/>
      <c r="J1305" s="4"/>
      <c r="K1305" s="4"/>
      <c r="L1305" s="4"/>
      <c r="M1305" s="4"/>
      <c r="N1305" s="4"/>
      <c r="O1305" s="3"/>
      <c r="P1305" s="3"/>
    </row>
    <row r="1306" spans="2:16" ht="19.5" customHeight="1">
      <c r="B1306" s="3"/>
      <c r="C1306" s="3"/>
      <c r="D1306" s="3"/>
      <c r="E1306" s="3"/>
      <c r="F1306" s="3"/>
      <c r="G1306" s="22"/>
      <c r="H1306" s="22"/>
      <c r="I1306" s="22"/>
      <c r="J1306" s="4"/>
      <c r="K1306" s="4"/>
      <c r="L1306" s="4"/>
      <c r="M1306" s="4"/>
      <c r="N1306" s="4"/>
      <c r="O1306" s="3"/>
      <c r="P1306" s="3"/>
    </row>
    <row r="1307" spans="2:16" ht="19.5" customHeight="1">
      <c r="B1307" s="3"/>
      <c r="C1307" s="3"/>
      <c r="D1307" s="3"/>
      <c r="E1307" s="3"/>
      <c r="F1307" s="3"/>
      <c r="G1307" s="22"/>
      <c r="H1307" s="22"/>
      <c r="I1307" s="22"/>
      <c r="J1307" s="4"/>
      <c r="K1307" s="4"/>
      <c r="L1307" s="4"/>
      <c r="M1307" s="4"/>
      <c r="N1307" s="4"/>
      <c r="O1307" s="3"/>
      <c r="P1307" s="3"/>
    </row>
    <row r="1308" spans="2:16" ht="19.5" customHeight="1">
      <c r="B1308" s="3"/>
      <c r="C1308" s="3"/>
      <c r="D1308" s="3"/>
      <c r="E1308" s="3"/>
      <c r="F1308" s="3"/>
      <c r="G1308" s="22"/>
      <c r="H1308" s="22"/>
      <c r="I1308" s="22"/>
      <c r="J1308" s="4"/>
      <c r="K1308" s="4"/>
      <c r="L1308" s="4"/>
      <c r="M1308" s="4"/>
      <c r="N1308" s="4"/>
      <c r="O1308" s="3"/>
      <c r="P1308" s="3"/>
    </row>
    <row r="1309" spans="2:16" ht="19.5" customHeight="1">
      <c r="B1309" s="3"/>
      <c r="C1309" s="3"/>
      <c r="D1309" s="3"/>
      <c r="E1309" s="3"/>
      <c r="F1309" s="3"/>
      <c r="G1309" s="22"/>
      <c r="H1309" s="22"/>
      <c r="I1309" s="22"/>
      <c r="J1309" s="4"/>
      <c r="K1309" s="4"/>
      <c r="L1309" s="4"/>
      <c r="M1309" s="4"/>
      <c r="N1309" s="4"/>
      <c r="O1309" s="3"/>
      <c r="P1309" s="3"/>
    </row>
    <row r="1310" spans="2:16" ht="19.5" customHeight="1">
      <c r="B1310" s="3"/>
      <c r="C1310" s="3"/>
      <c r="D1310" s="3"/>
      <c r="E1310" s="3"/>
      <c r="F1310" s="3"/>
      <c r="G1310" s="22"/>
      <c r="H1310" s="22"/>
      <c r="I1310" s="22"/>
      <c r="J1310" s="4"/>
      <c r="K1310" s="4"/>
      <c r="L1310" s="4"/>
      <c r="M1310" s="4"/>
      <c r="N1310" s="4"/>
      <c r="O1310" s="3"/>
      <c r="P1310" s="3"/>
    </row>
    <row r="1311" spans="2:16" ht="19.5" customHeight="1">
      <c r="B1311" s="3"/>
      <c r="C1311" s="3"/>
      <c r="D1311" s="3"/>
      <c r="E1311" s="3"/>
      <c r="F1311" s="3"/>
      <c r="G1311" s="22"/>
      <c r="H1311" s="22"/>
      <c r="I1311" s="22"/>
      <c r="J1311" s="4"/>
      <c r="K1311" s="4"/>
      <c r="L1311" s="4"/>
      <c r="M1311" s="4"/>
      <c r="N1311" s="4"/>
      <c r="O1311" s="3"/>
      <c r="P1311" s="3"/>
    </row>
    <row r="1312" spans="2:16" ht="19.5" customHeight="1">
      <c r="B1312" s="3"/>
      <c r="C1312" s="3"/>
      <c r="D1312" s="3"/>
      <c r="E1312" s="3"/>
      <c r="F1312" s="3"/>
      <c r="G1312" s="22"/>
      <c r="H1312" s="22"/>
      <c r="I1312" s="22"/>
      <c r="J1312" s="4"/>
      <c r="K1312" s="4"/>
      <c r="L1312" s="4"/>
      <c r="M1312" s="4"/>
      <c r="N1312" s="4"/>
      <c r="O1312" s="3"/>
      <c r="P1312" s="3"/>
    </row>
    <row r="1313" spans="2:16" ht="19.5" customHeight="1">
      <c r="B1313" s="3"/>
      <c r="C1313" s="3"/>
      <c r="D1313" s="3"/>
      <c r="E1313" s="3"/>
      <c r="F1313" s="3"/>
      <c r="G1313" s="22"/>
      <c r="H1313" s="22"/>
      <c r="I1313" s="22"/>
      <c r="J1313" s="4"/>
      <c r="K1313" s="4"/>
      <c r="L1313" s="4"/>
      <c r="M1313" s="4"/>
      <c r="N1313" s="4"/>
      <c r="O1313" s="3"/>
      <c r="P1313" s="3"/>
    </row>
    <row r="1314" spans="2:16" ht="19.5" customHeight="1">
      <c r="B1314" s="3"/>
      <c r="C1314" s="3"/>
      <c r="D1314" s="3"/>
      <c r="E1314" s="3"/>
      <c r="F1314" s="3"/>
      <c r="G1314" s="22"/>
      <c r="H1314" s="22"/>
      <c r="I1314" s="22"/>
      <c r="J1314" s="4"/>
      <c r="K1314" s="4"/>
      <c r="L1314" s="4"/>
      <c r="M1314" s="4"/>
      <c r="N1314" s="4"/>
      <c r="O1314" s="3"/>
      <c r="P1314" s="3"/>
    </row>
    <row r="1315" spans="2:16" ht="19.5" customHeight="1">
      <c r="B1315" s="3"/>
      <c r="C1315" s="3"/>
      <c r="D1315" s="3"/>
      <c r="E1315" s="3"/>
      <c r="F1315" s="3"/>
      <c r="G1315" s="22"/>
      <c r="H1315" s="22"/>
      <c r="I1315" s="22"/>
      <c r="J1315" s="4"/>
      <c r="K1315" s="4"/>
      <c r="L1315" s="4"/>
      <c r="M1315" s="4"/>
      <c r="N1315" s="4"/>
      <c r="O1315" s="3"/>
      <c r="P1315" s="3"/>
    </row>
    <row r="1316" spans="2:16" ht="19.5" customHeight="1">
      <c r="B1316" s="3"/>
      <c r="C1316" s="3"/>
      <c r="D1316" s="3"/>
      <c r="E1316" s="3"/>
      <c r="F1316" s="3"/>
      <c r="G1316" s="22"/>
      <c r="H1316" s="22"/>
      <c r="I1316" s="22"/>
      <c r="J1316" s="4"/>
      <c r="K1316" s="4"/>
      <c r="L1316" s="4"/>
      <c r="M1316" s="4"/>
      <c r="N1316" s="4"/>
      <c r="O1316" s="3"/>
      <c r="P1316" s="3"/>
    </row>
    <row r="1317" spans="2:16" ht="19.5" customHeight="1">
      <c r="B1317" s="3"/>
      <c r="C1317" s="3"/>
      <c r="D1317" s="3"/>
      <c r="E1317" s="3"/>
      <c r="F1317" s="3"/>
      <c r="G1317" s="22"/>
      <c r="H1317" s="22"/>
      <c r="I1317" s="22"/>
      <c r="J1317" s="4"/>
      <c r="K1317" s="4"/>
      <c r="L1317" s="4"/>
      <c r="M1317" s="4"/>
      <c r="N1317" s="4"/>
      <c r="O1317" s="3"/>
      <c r="P1317" s="3"/>
    </row>
    <row r="1318" spans="2:16" ht="19.5" customHeight="1">
      <c r="B1318" s="3"/>
      <c r="C1318" s="3"/>
      <c r="D1318" s="3"/>
      <c r="E1318" s="3"/>
      <c r="F1318" s="3"/>
      <c r="G1318" s="22"/>
      <c r="H1318" s="22"/>
      <c r="I1318" s="22"/>
      <c r="J1318" s="4"/>
      <c r="K1318" s="4"/>
      <c r="L1318" s="4"/>
      <c r="M1318" s="4"/>
      <c r="N1318" s="4"/>
      <c r="O1318" s="3"/>
      <c r="P1318" s="3"/>
    </row>
    <row r="1319" spans="2:16" ht="19.5" customHeight="1">
      <c r="B1319" s="3"/>
      <c r="C1319" s="3"/>
      <c r="D1319" s="3"/>
      <c r="E1319" s="3"/>
      <c r="F1319" s="3"/>
      <c r="G1319" s="22"/>
      <c r="H1319" s="22"/>
      <c r="I1319" s="22"/>
      <c r="J1319" s="4"/>
      <c r="K1319" s="4"/>
      <c r="L1319" s="4"/>
      <c r="M1319" s="4"/>
      <c r="N1319" s="4"/>
      <c r="O1319" s="3"/>
      <c r="P1319" s="3"/>
    </row>
    <row r="1320" spans="2:16" ht="19.5" customHeight="1">
      <c r="B1320" s="3"/>
      <c r="C1320" s="3"/>
      <c r="D1320" s="3"/>
      <c r="E1320" s="3"/>
      <c r="F1320" s="3"/>
      <c r="G1320" s="22"/>
      <c r="H1320" s="22"/>
      <c r="I1320" s="22"/>
      <c r="J1320" s="4"/>
      <c r="K1320" s="4"/>
      <c r="L1320" s="4"/>
      <c r="M1320" s="4"/>
      <c r="N1320" s="4"/>
      <c r="O1320" s="3"/>
      <c r="P1320" s="3"/>
    </row>
    <row r="1321" spans="2:16" ht="15.75" customHeight="1">
      <c r="B1321" s="3"/>
      <c r="C1321" s="3"/>
      <c r="D1321" s="3"/>
      <c r="E1321" s="3"/>
      <c r="F1321" s="3"/>
      <c r="G1321" s="22"/>
      <c r="H1321" s="22"/>
      <c r="I1321" s="22"/>
      <c r="J1321" s="4"/>
      <c r="K1321" s="4"/>
      <c r="L1321" s="4"/>
      <c r="M1321" s="4"/>
      <c r="N1321" s="4"/>
      <c r="O1321" s="3"/>
      <c r="P1321" s="3"/>
    </row>
    <row r="1322" spans="2:16" ht="15.75" customHeight="1">
      <c r="B1322" s="3"/>
      <c r="C1322" s="3"/>
      <c r="D1322" s="3"/>
      <c r="E1322" s="3"/>
      <c r="F1322" s="3"/>
      <c r="G1322" s="22"/>
      <c r="H1322" s="22"/>
      <c r="I1322" s="22"/>
      <c r="J1322" s="4"/>
      <c r="K1322" s="4"/>
      <c r="L1322" s="4"/>
      <c r="M1322" s="4"/>
      <c r="N1322" s="4"/>
      <c r="O1322" s="3"/>
      <c r="P1322" s="3"/>
    </row>
    <row r="1323" spans="2:16" ht="15.75" customHeight="1">
      <c r="B1323" s="3"/>
      <c r="C1323" s="3"/>
      <c r="D1323" s="3"/>
      <c r="E1323" s="3"/>
      <c r="F1323" s="3"/>
      <c r="G1323" s="22"/>
      <c r="H1323" s="22"/>
      <c r="I1323" s="22"/>
      <c r="J1323" s="4"/>
      <c r="K1323" s="3"/>
      <c r="L1323" s="3"/>
      <c r="M1323" s="3"/>
      <c r="N1323" s="3"/>
      <c r="O1323" s="3"/>
      <c r="P1323" s="3"/>
    </row>
    <row r="1324" spans="2:16" ht="15.75" customHeight="1">
      <c r="B1324" s="3"/>
      <c r="C1324" s="3"/>
      <c r="D1324" s="3"/>
      <c r="E1324" s="3"/>
      <c r="F1324" s="3"/>
      <c r="G1324" s="22"/>
      <c r="H1324" s="22"/>
      <c r="I1324" s="22"/>
      <c r="J1324" s="4"/>
      <c r="K1324" s="3"/>
      <c r="L1324" s="3"/>
      <c r="M1324" s="3"/>
      <c r="N1324" s="3"/>
      <c r="O1324" s="3"/>
      <c r="P1324" s="3"/>
    </row>
    <row r="1325" spans="2:16" ht="15.75" customHeight="1">
      <c r="B1325" s="3"/>
      <c r="C1325" s="3"/>
      <c r="D1325" s="3"/>
      <c r="E1325" s="3"/>
      <c r="F1325" s="3"/>
      <c r="G1325" s="22"/>
      <c r="H1325" s="22"/>
      <c r="I1325" s="22"/>
      <c r="J1325" s="4"/>
      <c r="K1325" s="3"/>
      <c r="L1325" s="3"/>
      <c r="M1325" s="3"/>
      <c r="N1325" s="3"/>
      <c r="O1325" s="3"/>
      <c r="P1325" s="3"/>
    </row>
    <row r="1326" spans="2:16" ht="15.75" customHeight="1">
      <c r="B1326" s="3"/>
      <c r="C1326" s="3"/>
      <c r="D1326" s="3"/>
      <c r="E1326" s="3"/>
      <c r="F1326" s="3"/>
      <c r="G1326" s="22"/>
      <c r="H1326" s="22"/>
      <c r="I1326" s="22"/>
      <c r="J1326" s="4"/>
      <c r="K1326" s="3"/>
      <c r="L1326" s="3"/>
      <c r="M1326" s="3"/>
      <c r="N1326" s="3"/>
      <c r="O1326" s="3"/>
      <c r="P1326" s="3"/>
    </row>
    <row r="1327" spans="2:16" ht="15.75" customHeight="1">
      <c r="B1327" s="3"/>
      <c r="C1327" s="3"/>
      <c r="D1327" s="3"/>
      <c r="E1327" s="3"/>
      <c r="F1327" s="3"/>
      <c r="G1327" s="22"/>
      <c r="H1327" s="22"/>
      <c r="I1327" s="22"/>
      <c r="J1327" s="4"/>
      <c r="K1327" s="3"/>
      <c r="L1327" s="3"/>
      <c r="M1327" s="3"/>
      <c r="N1327" s="3"/>
      <c r="O1327" s="3"/>
      <c r="P1327" s="3"/>
    </row>
    <row r="1328" spans="2:16" ht="15" customHeight="1">
      <c r="B1328" s="3"/>
      <c r="C1328" s="3"/>
      <c r="D1328" s="3"/>
      <c r="E1328" s="3"/>
      <c r="F1328" s="3"/>
      <c r="G1328" s="22"/>
      <c r="H1328" s="22"/>
      <c r="I1328" s="22"/>
      <c r="J1328" s="4"/>
      <c r="K1328" s="3"/>
      <c r="L1328" s="3"/>
      <c r="M1328" s="3"/>
      <c r="N1328" s="3"/>
      <c r="O1328" s="3"/>
      <c r="P1328" s="3"/>
    </row>
    <row r="1329" spans="2:16" ht="15" customHeight="1">
      <c r="B1329" s="3"/>
      <c r="C1329" s="3"/>
      <c r="D1329" s="3"/>
      <c r="E1329" s="3"/>
      <c r="F1329" s="3"/>
      <c r="G1329" s="22"/>
      <c r="H1329" s="22"/>
      <c r="I1329" s="22"/>
      <c r="J1329" s="4"/>
      <c r="K1329" s="3"/>
      <c r="L1329" s="3"/>
      <c r="M1329" s="3"/>
      <c r="N1329" s="3"/>
      <c r="O1329" s="3"/>
      <c r="P1329" s="3"/>
    </row>
    <row r="1330" spans="2:16" ht="15" customHeight="1">
      <c r="B1330" s="3"/>
      <c r="C1330" s="3"/>
      <c r="D1330" s="3"/>
      <c r="E1330" s="3"/>
      <c r="F1330" s="3"/>
      <c r="G1330" s="22"/>
      <c r="H1330" s="22"/>
      <c r="I1330" s="22"/>
      <c r="J1330" s="4"/>
      <c r="K1330" s="3"/>
      <c r="L1330" s="3"/>
      <c r="M1330" s="3"/>
      <c r="N1330" s="3"/>
      <c r="O1330" s="3"/>
      <c r="P1330" s="3"/>
    </row>
    <row r="1331" spans="2:16" ht="15" customHeight="1">
      <c r="B1331" s="3"/>
      <c r="C1331" s="3"/>
      <c r="D1331" s="3"/>
      <c r="E1331" s="3"/>
      <c r="F1331" s="3"/>
      <c r="G1331" s="22"/>
      <c r="H1331" s="22"/>
      <c r="I1331" s="22"/>
      <c r="J1331" s="4"/>
      <c r="K1331" s="3"/>
      <c r="L1331" s="3"/>
      <c r="M1331" s="3"/>
      <c r="N1331" s="3"/>
      <c r="O1331" s="3"/>
      <c r="P1331" s="3"/>
    </row>
    <row r="1332" spans="2:16" ht="15" customHeight="1">
      <c r="B1332" s="3"/>
      <c r="C1332" s="3"/>
      <c r="D1332" s="3"/>
      <c r="E1332" s="3"/>
      <c r="F1332" s="3"/>
      <c r="G1332" s="22"/>
      <c r="H1332" s="22"/>
      <c r="I1332" s="22"/>
      <c r="J1332" s="4"/>
      <c r="K1332" s="3"/>
      <c r="L1332" s="3"/>
      <c r="M1332" s="3"/>
      <c r="N1332" s="3"/>
      <c r="O1332" s="3"/>
      <c r="P1332" s="3"/>
    </row>
    <row r="1333" spans="2:16" ht="15" customHeight="1">
      <c r="B1333" s="3"/>
      <c r="C1333" s="3"/>
      <c r="D1333" s="3"/>
      <c r="E1333" s="3"/>
      <c r="F1333" s="3"/>
      <c r="G1333" s="22"/>
      <c r="H1333" s="22"/>
      <c r="I1333" s="22"/>
      <c r="J1333" s="4"/>
      <c r="K1333" s="3"/>
      <c r="L1333" s="3"/>
      <c r="M1333" s="3"/>
      <c r="N1333" s="3"/>
      <c r="O1333" s="3"/>
      <c r="P1333" s="3"/>
    </row>
    <row r="1334" spans="2:16" ht="15" customHeight="1">
      <c r="B1334" s="3"/>
      <c r="C1334" s="3"/>
      <c r="D1334" s="3"/>
      <c r="E1334" s="3"/>
      <c r="F1334" s="3"/>
      <c r="G1334" s="22"/>
      <c r="H1334" s="22"/>
      <c r="I1334" s="22"/>
      <c r="J1334" s="4"/>
      <c r="K1334" s="3"/>
      <c r="L1334" s="3"/>
      <c r="M1334" s="3"/>
      <c r="N1334" s="3"/>
      <c r="O1334" s="3"/>
      <c r="P1334" s="3"/>
    </row>
    <row r="1335" spans="2:16" ht="15" customHeight="1">
      <c r="B1335" s="3"/>
      <c r="C1335" s="3"/>
      <c r="D1335" s="3"/>
      <c r="E1335" s="3"/>
      <c r="F1335" s="3"/>
      <c r="G1335" s="22"/>
      <c r="H1335" s="22"/>
      <c r="I1335" s="22"/>
      <c r="J1335" s="4"/>
      <c r="K1335" s="3"/>
      <c r="L1335" s="3"/>
      <c r="M1335" s="3"/>
      <c r="N1335" s="3"/>
      <c r="O1335" s="3"/>
      <c r="P1335" s="3"/>
    </row>
    <row r="1336" spans="2:16" ht="15" customHeight="1">
      <c r="B1336" s="3"/>
      <c r="C1336" s="3"/>
      <c r="D1336" s="3"/>
      <c r="E1336" s="3"/>
      <c r="F1336" s="3"/>
      <c r="G1336" s="22"/>
      <c r="H1336" s="22"/>
      <c r="I1336" s="22"/>
      <c r="J1336" s="4"/>
      <c r="K1336" s="3"/>
      <c r="L1336" s="3"/>
      <c r="M1336" s="3"/>
      <c r="N1336" s="3"/>
      <c r="O1336" s="3"/>
      <c r="P1336" s="3"/>
    </row>
    <row r="1337" spans="2:16" ht="15" customHeight="1">
      <c r="B1337" s="3"/>
      <c r="C1337" s="3"/>
      <c r="D1337" s="3"/>
      <c r="E1337" s="3"/>
      <c r="F1337" s="3"/>
      <c r="G1337" s="22"/>
      <c r="H1337" s="22"/>
      <c r="I1337" s="22"/>
      <c r="J1337" s="4"/>
      <c r="K1337" s="3"/>
      <c r="L1337" s="3"/>
      <c r="M1337" s="3"/>
      <c r="N1337" s="3"/>
      <c r="O1337" s="3"/>
      <c r="P1337" s="3"/>
    </row>
    <row r="1338" spans="2:16" ht="15" customHeight="1">
      <c r="B1338" s="3"/>
      <c r="C1338" s="3"/>
      <c r="D1338" s="3"/>
      <c r="E1338" s="3"/>
      <c r="F1338" s="3"/>
      <c r="G1338" s="22"/>
      <c r="H1338" s="22"/>
      <c r="I1338" s="22"/>
      <c r="J1338" s="4"/>
      <c r="K1338" s="3"/>
      <c r="L1338" s="3"/>
      <c r="M1338" s="3"/>
      <c r="N1338" s="3"/>
      <c r="O1338" s="3"/>
      <c r="P1338" s="3"/>
    </row>
    <row r="1339" spans="2:16" ht="15" customHeight="1">
      <c r="B1339" s="3"/>
      <c r="C1339" s="3"/>
      <c r="D1339" s="3"/>
      <c r="E1339" s="3"/>
      <c r="F1339" s="3"/>
      <c r="G1339" s="22"/>
      <c r="H1339" s="22"/>
      <c r="I1339" s="22"/>
      <c r="J1339" s="4"/>
      <c r="K1339" s="3"/>
      <c r="L1339" s="3"/>
      <c r="M1339" s="3"/>
      <c r="N1339" s="3"/>
      <c r="O1339" s="3"/>
      <c r="P1339" s="3"/>
    </row>
    <row r="1340" spans="2:16" ht="15" customHeight="1">
      <c r="B1340" s="3"/>
      <c r="C1340" s="3"/>
      <c r="D1340" s="3"/>
      <c r="E1340" s="3"/>
      <c r="F1340" s="3"/>
      <c r="G1340" s="22"/>
      <c r="H1340" s="22"/>
      <c r="I1340" s="22"/>
      <c r="J1340" s="4"/>
      <c r="K1340" s="3"/>
      <c r="L1340" s="3"/>
      <c r="M1340" s="3"/>
      <c r="N1340" s="3"/>
      <c r="O1340" s="3"/>
      <c r="P1340" s="3"/>
    </row>
    <row r="1341" spans="2:16" ht="15" customHeight="1">
      <c r="B1341" s="3"/>
      <c r="C1341" s="3"/>
      <c r="D1341" s="3"/>
      <c r="E1341" s="3"/>
      <c r="F1341" s="3"/>
      <c r="G1341" s="22"/>
      <c r="H1341" s="22"/>
      <c r="I1341" s="22"/>
      <c r="J1341" s="4"/>
      <c r="K1341" s="3"/>
      <c r="L1341" s="3"/>
      <c r="M1341" s="3"/>
      <c r="N1341" s="3"/>
      <c r="O1341" s="3"/>
      <c r="P1341" s="3"/>
    </row>
    <row r="1342" spans="2:16" ht="15" customHeight="1">
      <c r="B1342" s="3"/>
      <c r="C1342" s="3"/>
      <c r="D1342" s="3"/>
      <c r="E1342" s="3"/>
      <c r="F1342" s="3"/>
      <c r="G1342" s="22"/>
      <c r="H1342" s="22"/>
      <c r="I1342" s="22"/>
      <c r="J1342" s="4"/>
      <c r="K1342" s="3"/>
      <c r="L1342" s="3"/>
      <c r="M1342" s="3"/>
      <c r="N1342" s="3"/>
      <c r="O1342" s="3"/>
      <c r="P1342" s="3"/>
    </row>
    <row r="1343" spans="2:16" ht="15" customHeight="1">
      <c r="B1343" s="3"/>
      <c r="C1343" s="3"/>
      <c r="D1343" s="3"/>
      <c r="E1343" s="3"/>
      <c r="F1343" s="3"/>
      <c r="G1343" s="22"/>
      <c r="H1343" s="22"/>
      <c r="I1343" s="22"/>
      <c r="J1343" s="4"/>
      <c r="K1343" s="3"/>
      <c r="L1343" s="3"/>
      <c r="M1343" s="3"/>
      <c r="N1343" s="3"/>
      <c r="O1343" s="3"/>
      <c r="P1343" s="3"/>
    </row>
    <row r="1344" spans="2:16" ht="15" customHeight="1">
      <c r="B1344" s="3"/>
      <c r="C1344" s="3"/>
      <c r="D1344" s="3"/>
      <c r="E1344" s="3"/>
      <c r="F1344" s="3"/>
      <c r="G1344" s="22"/>
      <c r="H1344" s="22"/>
      <c r="I1344" s="22"/>
      <c r="J1344" s="4"/>
      <c r="K1344" s="3"/>
      <c r="L1344" s="3"/>
      <c r="M1344" s="3"/>
      <c r="N1344" s="3"/>
      <c r="O1344" s="3"/>
      <c r="P1344" s="3"/>
    </row>
    <row r="1345" spans="2:16" ht="15" customHeight="1">
      <c r="B1345" s="3"/>
      <c r="C1345" s="3"/>
      <c r="D1345" s="3"/>
      <c r="E1345" s="3"/>
      <c r="F1345" s="3"/>
      <c r="G1345" s="22"/>
      <c r="H1345" s="22"/>
      <c r="I1345" s="22"/>
      <c r="J1345" s="4"/>
      <c r="K1345" s="3"/>
      <c r="L1345" s="3"/>
      <c r="M1345" s="3"/>
      <c r="N1345" s="3"/>
      <c r="O1345" s="3"/>
      <c r="P1345" s="3"/>
    </row>
    <row r="1346" spans="2:16" ht="15" customHeight="1">
      <c r="B1346" s="3"/>
      <c r="C1346" s="3"/>
      <c r="D1346" s="3"/>
      <c r="E1346" s="3"/>
      <c r="F1346" s="3"/>
      <c r="G1346" s="22"/>
      <c r="H1346" s="22"/>
      <c r="I1346" s="22"/>
      <c r="J1346" s="4"/>
      <c r="K1346" s="3"/>
      <c r="L1346" s="3"/>
      <c r="M1346" s="3"/>
      <c r="N1346" s="3"/>
      <c r="O1346" s="3"/>
      <c r="P1346" s="3"/>
    </row>
    <row r="1347" spans="2:16" ht="15" customHeight="1">
      <c r="B1347" s="3"/>
      <c r="C1347" s="3"/>
      <c r="D1347" s="3"/>
      <c r="E1347" s="3"/>
      <c r="F1347" s="3"/>
      <c r="G1347" s="22"/>
      <c r="H1347" s="22"/>
      <c r="I1347" s="22"/>
      <c r="J1347" s="4"/>
      <c r="K1347" s="3"/>
      <c r="L1347" s="3"/>
      <c r="M1347" s="3"/>
      <c r="N1347" s="3"/>
      <c r="O1347" s="3"/>
      <c r="P1347" s="3"/>
    </row>
    <row r="1348" spans="2:16" ht="15" customHeight="1">
      <c r="B1348" s="3"/>
      <c r="C1348" s="3"/>
      <c r="D1348" s="3"/>
      <c r="E1348" s="3"/>
      <c r="F1348" s="3"/>
      <c r="G1348" s="22"/>
      <c r="H1348" s="22"/>
      <c r="I1348" s="22"/>
      <c r="J1348" s="4"/>
      <c r="K1348" s="3"/>
      <c r="L1348" s="3"/>
      <c r="M1348" s="3"/>
      <c r="N1348" s="3"/>
      <c r="O1348" s="3"/>
      <c r="P1348" s="3"/>
    </row>
    <row r="1349" spans="2:16" ht="15" customHeight="1">
      <c r="B1349" s="3"/>
      <c r="C1349" s="3"/>
      <c r="D1349" s="3"/>
      <c r="E1349" s="3"/>
      <c r="F1349" s="3"/>
      <c r="G1349" s="22"/>
      <c r="H1349" s="22"/>
      <c r="I1349" s="22"/>
      <c r="J1349" s="4"/>
      <c r="K1349" s="3"/>
      <c r="L1349" s="3"/>
      <c r="M1349" s="3"/>
      <c r="N1349" s="3"/>
      <c r="O1349" s="3"/>
      <c r="P1349" s="3"/>
    </row>
    <row r="1350" spans="2:16" ht="15" customHeight="1">
      <c r="B1350" s="3"/>
      <c r="C1350" s="3"/>
      <c r="D1350" s="3"/>
      <c r="E1350" s="3"/>
      <c r="F1350" s="3"/>
      <c r="G1350" s="22"/>
      <c r="H1350" s="22"/>
      <c r="I1350" s="22"/>
      <c r="J1350" s="4"/>
      <c r="K1350" s="3"/>
      <c r="L1350" s="3"/>
      <c r="M1350" s="3"/>
      <c r="N1350" s="3"/>
      <c r="O1350" s="3"/>
      <c r="P1350" s="3"/>
    </row>
    <row r="1351" spans="2:16" ht="15" customHeight="1">
      <c r="B1351" s="3"/>
      <c r="C1351" s="3"/>
      <c r="D1351" s="3"/>
      <c r="E1351" s="3"/>
      <c r="F1351" s="3"/>
      <c r="G1351" s="22"/>
      <c r="H1351" s="22"/>
      <c r="I1351" s="22"/>
      <c r="J1351" s="4"/>
      <c r="K1351" s="3"/>
      <c r="L1351" s="3"/>
      <c r="M1351" s="3"/>
      <c r="N1351" s="3"/>
      <c r="O1351" s="3"/>
      <c r="P1351" s="3"/>
    </row>
    <row r="1352" spans="2:16" ht="15" customHeight="1">
      <c r="B1352" s="3"/>
      <c r="C1352" s="3"/>
      <c r="D1352" s="3"/>
      <c r="E1352" s="3"/>
      <c r="F1352" s="3"/>
      <c r="G1352" s="22"/>
      <c r="H1352" s="22"/>
      <c r="I1352" s="22"/>
      <c r="J1352" s="4"/>
      <c r="K1352" s="3"/>
      <c r="L1352" s="3"/>
      <c r="M1352" s="3"/>
      <c r="N1352" s="3"/>
      <c r="O1352" s="3"/>
      <c r="P1352" s="3"/>
    </row>
    <row r="1353" spans="2:16" ht="15" customHeight="1">
      <c r="B1353" s="3"/>
      <c r="C1353" s="3"/>
      <c r="D1353" s="3"/>
      <c r="E1353" s="3"/>
      <c r="F1353" s="3"/>
      <c r="G1353" s="22"/>
      <c r="H1353" s="22"/>
      <c r="I1353" s="22"/>
      <c r="J1353" s="4"/>
      <c r="K1353" s="3"/>
      <c r="L1353" s="3"/>
      <c r="M1353" s="3"/>
      <c r="N1353" s="3"/>
      <c r="O1353" s="3"/>
      <c r="P1353" s="3"/>
    </row>
    <row r="1354" spans="2:16" ht="15" customHeight="1">
      <c r="B1354" s="3"/>
      <c r="C1354" s="3"/>
      <c r="D1354" s="3"/>
      <c r="E1354" s="3"/>
      <c r="F1354" s="3"/>
      <c r="G1354" s="22"/>
      <c r="H1354" s="22"/>
      <c r="I1354" s="22"/>
      <c r="J1354" s="4"/>
      <c r="K1354" s="3"/>
      <c r="L1354" s="3"/>
      <c r="M1354" s="3"/>
      <c r="N1354" s="3"/>
      <c r="O1354" s="3"/>
      <c r="P1354" s="3"/>
    </row>
    <row r="1355" spans="2:16" ht="15" customHeight="1">
      <c r="B1355" s="3"/>
      <c r="C1355" s="3"/>
      <c r="D1355" s="3"/>
      <c r="E1355" s="3"/>
      <c r="F1355" s="3"/>
      <c r="G1355" s="22"/>
      <c r="H1355" s="22"/>
      <c r="I1355" s="22"/>
      <c r="J1355" s="4"/>
      <c r="K1355" s="3"/>
      <c r="L1355" s="3"/>
      <c r="M1355" s="3"/>
      <c r="N1355" s="3"/>
      <c r="O1355" s="3"/>
      <c r="P1355" s="3"/>
    </row>
    <row r="1356" spans="2:16" ht="15" customHeight="1">
      <c r="B1356" s="3"/>
      <c r="C1356" s="3"/>
      <c r="D1356" s="3"/>
      <c r="E1356" s="3"/>
      <c r="F1356" s="3"/>
      <c r="G1356" s="22"/>
      <c r="H1356" s="22"/>
      <c r="I1356" s="22"/>
      <c r="J1356" s="4"/>
      <c r="K1356" s="3"/>
      <c r="L1356" s="3"/>
      <c r="M1356" s="3"/>
      <c r="N1356" s="3"/>
      <c r="O1356" s="3"/>
      <c r="P1356" s="3"/>
    </row>
    <row r="1357" spans="2:16" ht="15" customHeight="1">
      <c r="B1357" s="3"/>
      <c r="C1357" s="3"/>
      <c r="D1357" s="3"/>
      <c r="E1357" s="3"/>
      <c r="F1357" s="3"/>
      <c r="G1357" s="22"/>
      <c r="H1357" s="22"/>
      <c r="I1357" s="22"/>
      <c r="J1357" s="4"/>
      <c r="K1357" s="3"/>
      <c r="L1357" s="3"/>
      <c r="M1357" s="3"/>
      <c r="N1357" s="3"/>
      <c r="O1357" s="3"/>
      <c r="P1357" s="3"/>
    </row>
    <row r="1358" spans="2:16" ht="15" customHeight="1">
      <c r="B1358" s="3"/>
      <c r="C1358" s="3"/>
      <c r="D1358" s="3"/>
      <c r="E1358" s="3"/>
      <c r="F1358" s="3"/>
      <c r="G1358" s="22"/>
      <c r="H1358" s="22"/>
      <c r="I1358" s="22"/>
      <c r="J1358" s="4"/>
      <c r="K1358" s="3"/>
      <c r="L1358" s="3"/>
      <c r="M1358" s="3"/>
      <c r="N1358" s="3"/>
      <c r="O1358" s="3"/>
      <c r="P1358" s="3"/>
    </row>
    <row r="1359" spans="2:16" ht="15" customHeight="1">
      <c r="B1359" s="3"/>
      <c r="C1359" s="3"/>
      <c r="D1359" s="3"/>
      <c r="E1359" s="3"/>
      <c r="F1359" s="3"/>
      <c r="G1359" s="22"/>
      <c r="H1359" s="22"/>
      <c r="I1359" s="22"/>
      <c r="J1359" s="4"/>
      <c r="K1359" s="3"/>
      <c r="L1359" s="3"/>
      <c r="M1359" s="3"/>
      <c r="N1359" s="3"/>
      <c r="O1359" s="3"/>
      <c r="P1359" s="3"/>
    </row>
    <row r="1360" spans="2:16" ht="15" customHeight="1">
      <c r="B1360" s="3"/>
      <c r="C1360" s="3"/>
      <c r="D1360" s="3"/>
      <c r="E1360" s="3"/>
      <c r="F1360" s="3"/>
      <c r="G1360" s="22"/>
      <c r="H1360" s="22"/>
      <c r="I1360" s="22"/>
      <c r="J1360" s="4"/>
      <c r="K1360" s="3"/>
      <c r="L1360" s="3"/>
      <c r="M1360" s="3"/>
      <c r="N1360" s="3"/>
      <c r="O1360" s="3"/>
      <c r="P1360" s="3"/>
    </row>
    <row r="1361" spans="2:16" ht="15" customHeight="1">
      <c r="B1361" s="3"/>
      <c r="C1361" s="3"/>
      <c r="D1361" s="3"/>
      <c r="E1361" s="3"/>
      <c r="F1361" s="3"/>
      <c r="G1361" s="22"/>
      <c r="H1361" s="22"/>
      <c r="I1361" s="22"/>
      <c r="J1361" s="4"/>
      <c r="K1361" s="3"/>
      <c r="L1361" s="3"/>
      <c r="M1361" s="3"/>
      <c r="N1361" s="3"/>
      <c r="O1361" s="3"/>
      <c r="P1361" s="3"/>
    </row>
    <row r="1362" spans="2:16" ht="15" customHeight="1">
      <c r="B1362" s="3"/>
      <c r="C1362" s="3"/>
      <c r="D1362" s="3"/>
      <c r="E1362" s="3"/>
      <c r="F1362" s="3"/>
      <c r="G1362" s="22"/>
      <c r="H1362" s="22"/>
      <c r="I1362" s="22"/>
      <c r="J1362" s="4"/>
      <c r="K1362" s="3"/>
      <c r="L1362" s="3"/>
      <c r="M1362" s="3"/>
      <c r="N1362" s="3"/>
      <c r="O1362" s="3"/>
      <c r="P1362" s="3"/>
    </row>
    <row r="1363" spans="2:16" ht="15" customHeight="1">
      <c r="B1363" s="3"/>
      <c r="C1363" s="3"/>
      <c r="D1363" s="3"/>
      <c r="E1363" s="3"/>
      <c r="F1363" s="3"/>
      <c r="G1363" s="22"/>
      <c r="H1363" s="22"/>
      <c r="I1363" s="22"/>
      <c r="J1363" s="4"/>
      <c r="K1363" s="3"/>
      <c r="L1363" s="3"/>
      <c r="M1363" s="3"/>
      <c r="N1363" s="3"/>
      <c r="O1363" s="3"/>
      <c r="P1363" s="3"/>
    </row>
    <row r="1364" spans="2:16" ht="15" customHeight="1">
      <c r="B1364" s="3"/>
      <c r="C1364" s="3"/>
      <c r="D1364" s="3"/>
      <c r="E1364" s="3"/>
      <c r="F1364" s="3"/>
      <c r="G1364" s="22"/>
      <c r="H1364" s="22"/>
      <c r="I1364" s="22"/>
      <c r="J1364" s="4"/>
      <c r="K1364" s="3"/>
      <c r="L1364" s="3"/>
      <c r="M1364" s="3"/>
      <c r="N1364" s="3"/>
      <c r="O1364" s="3"/>
      <c r="P1364" s="3"/>
    </row>
    <row r="1365" spans="2:16" ht="15" customHeight="1">
      <c r="B1365" s="3"/>
      <c r="C1365" s="3"/>
      <c r="D1365" s="3"/>
      <c r="E1365" s="3"/>
      <c r="F1365" s="3"/>
      <c r="G1365" s="22"/>
      <c r="H1365" s="22"/>
      <c r="I1365" s="22"/>
      <c r="J1365" s="4"/>
      <c r="K1365" s="3"/>
      <c r="L1365" s="3"/>
      <c r="M1365" s="3"/>
      <c r="N1365" s="3"/>
      <c r="O1365" s="3"/>
      <c r="P1365" s="3"/>
    </row>
    <row r="1366" spans="2:16" ht="15" customHeight="1">
      <c r="B1366" s="3"/>
      <c r="C1366" s="3"/>
      <c r="D1366" s="3"/>
      <c r="E1366" s="3"/>
      <c r="F1366" s="3"/>
      <c r="G1366" s="22"/>
      <c r="H1366" s="22"/>
      <c r="I1366" s="22"/>
      <c r="J1366" s="4"/>
      <c r="K1366" s="3"/>
      <c r="L1366" s="3"/>
      <c r="M1366" s="3"/>
      <c r="N1366" s="3"/>
      <c r="O1366" s="3"/>
      <c r="P1366" s="3"/>
    </row>
    <row r="1367" spans="2:16" ht="15" customHeight="1">
      <c r="B1367" s="3"/>
      <c r="C1367" s="3"/>
      <c r="D1367" s="3"/>
      <c r="E1367" s="3"/>
      <c r="F1367" s="3"/>
      <c r="G1367" s="22"/>
      <c r="H1367" s="22"/>
      <c r="I1367" s="22"/>
      <c r="J1367" s="4"/>
      <c r="K1367" s="3"/>
      <c r="L1367" s="3"/>
      <c r="M1367" s="3"/>
      <c r="N1367" s="3"/>
      <c r="O1367" s="3"/>
      <c r="P1367" s="3"/>
    </row>
    <row r="1368" spans="2:16" ht="15" customHeight="1">
      <c r="B1368" s="3"/>
      <c r="C1368" s="3"/>
      <c r="D1368" s="3"/>
      <c r="E1368" s="3"/>
      <c r="F1368" s="3"/>
      <c r="G1368" s="22"/>
      <c r="H1368" s="22"/>
      <c r="I1368" s="22"/>
      <c r="J1368" s="4"/>
      <c r="K1368" s="3"/>
      <c r="L1368" s="3"/>
      <c r="M1368" s="3"/>
      <c r="N1368" s="3"/>
      <c r="O1368" s="3"/>
      <c r="P1368" s="3"/>
    </row>
    <row r="1369" spans="2:16" ht="15" customHeight="1">
      <c r="B1369" s="3"/>
      <c r="C1369" s="3"/>
      <c r="D1369" s="3"/>
      <c r="E1369" s="3"/>
      <c r="F1369" s="3"/>
      <c r="G1369" s="22"/>
      <c r="H1369" s="22"/>
      <c r="I1369" s="22"/>
      <c r="J1369" s="4"/>
      <c r="K1369" s="3"/>
      <c r="L1369" s="3"/>
      <c r="M1369" s="3"/>
      <c r="N1369" s="3"/>
      <c r="O1369" s="3"/>
      <c r="P1369" s="3"/>
    </row>
    <row r="1370" spans="2:16" ht="15" customHeight="1">
      <c r="B1370" s="3"/>
      <c r="C1370" s="3"/>
      <c r="D1370" s="3"/>
      <c r="E1370" s="3"/>
      <c r="F1370" s="3"/>
      <c r="G1370" s="22"/>
      <c r="H1370" s="22"/>
      <c r="I1370" s="22"/>
      <c r="J1370" s="4"/>
      <c r="K1370" s="3"/>
      <c r="L1370" s="3"/>
      <c r="M1370" s="3"/>
      <c r="N1370" s="3"/>
      <c r="O1370" s="3"/>
      <c r="P1370" s="3"/>
    </row>
    <row r="1371" spans="2:16" ht="15" customHeight="1">
      <c r="B1371" s="3"/>
      <c r="C1371" s="3"/>
      <c r="D1371" s="3"/>
      <c r="E1371" s="3"/>
      <c r="F1371" s="3"/>
      <c r="G1371" s="22"/>
      <c r="H1371" s="22"/>
      <c r="I1371" s="22"/>
      <c r="J1371" s="4"/>
      <c r="K1371" s="3"/>
      <c r="L1371" s="3"/>
      <c r="M1371" s="3"/>
      <c r="N1371" s="3"/>
      <c r="O1371" s="3"/>
      <c r="P1371" s="3"/>
    </row>
    <row r="1372" spans="2:16" ht="15" customHeight="1">
      <c r="B1372" s="3"/>
      <c r="C1372" s="3"/>
      <c r="D1372" s="3"/>
      <c r="E1372" s="3"/>
      <c r="F1372" s="3"/>
      <c r="G1372" s="22"/>
      <c r="H1372" s="22"/>
      <c r="I1372" s="22"/>
      <c r="J1372" s="4"/>
      <c r="K1372" s="3"/>
      <c r="L1372" s="3"/>
      <c r="M1372" s="3"/>
      <c r="N1372" s="3"/>
      <c r="O1372" s="3"/>
      <c r="P1372" s="3"/>
    </row>
    <row r="1373" spans="2:16" ht="15" customHeight="1">
      <c r="B1373" s="3"/>
      <c r="C1373" s="3"/>
      <c r="D1373" s="3"/>
      <c r="E1373" s="3"/>
      <c r="F1373" s="3"/>
      <c r="G1373" s="22"/>
      <c r="H1373" s="22"/>
      <c r="I1373" s="22"/>
      <c r="J1373" s="4"/>
      <c r="K1373" s="3"/>
      <c r="L1373" s="3"/>
      <c r="M1373" s="3"/>
      <c r="N1373" s="3"/>
      <c r="O1373" s="3"/>
      <c r="P1373" s="3"/>
    </row>
    <row r="1374" spans="2:16" ht="15" customHeight="1">
      <c r="B1374" s="3"/>
      <c r="C1374" s="3"/>
      <c r="D1374" s="3"/>
      <c r="E1374" s="3"/>
      <c r="F1374" s="3"/>
      <c r="G1374" s="22"/>
      <c r="H1374" s="22"/>
      <c r="I1374" s="22"/>
      <c r="J1374" s="4"/>
      <c r="K1374" s="3"/>
      <c r="L1374" s="3"/>
      <c r="M1374" s="3"/>
      <c r="N1374" s="3"/>
      <c r="O1374" s="3"/>
      <c r="P1374" s="3"/>
    </row>
    <row r="1375" spans="2:16" ht="15" customHeight="1">
      <c r="B1375" s="3"/>
      <c r="C1375" s="3"/>
      <c r="D1375" s="3"/>
      <c r="E1375" s="3"/>
      <c r="F1375" s="3"/>
      <c r="G1375" s="22"/>
      <c r="H1375" s="22"/>
      <c r="I1375" s="22"/>
      <c r="J1375" s="4"/>
      <c r="K1375" s="3"/>
      <c r="L1375" s="3"/>
      <c r="M1375" s="3"/>
      <c r="N1375" s="3"/>
      <c r="O1375" s="3"/>
      <c r="P1375" s="3"/>
    </row>
    <row r="1376" spans="2:16" ht="15" customHeight="1">
      <c r="B1376" s="3"/>
      <c r="C1376" s="3"/>
      <c r="D1376" s="3"/>
      <c r="E1376" s="3"/>
      <c r="F1376" s="3"/>
      <c r="G1376" s="22"/>
      <c r="H1376" s="22"/>
      <c r="I1376" s="22"/>
      <c r="J1376" s="4"/>
      <c r="K1376" s="3"/>
      <c r="L1376" s="3"/>
      <c r="M1376" s="3"/>
      <c r="N1376" s="3"/>
      <c r="O1376" s="3"/>
      <c r="P1376" s="3"/>
    </row>
    <row r="1377" spans="2:16" ht="15" customHeight="1">
      <c r="B1377" s="3"/>
      <c r="C1377" s="3"/>
      <c r="D1377" s="3"/>
      <c r="E1377" s="3"/>
      <c r="F1377" s="3"/>
      <c r="G1377" s="22"/>
      <c r="H1377" s="22"/>
      <c r="I1377" s="22"/>
      <c r="J1377" s="4"/>
      <c r="K1377" s="3"/>
      <c r="L1377" s="3"/>
      <c r="M1377" s="3"/>
      <c r="N1377" s="3"/>
      <c r="O1377" s="3"/>
      <c r="P1377" s="3"/>
    </row>
    <row r="1378" spans="2:16" ht="15" customHeight="1">
      <c r="B1378" s="3"/>
      <c r="C1378" s="3"/>
      <c r="D1378" s="3"/>
      <c r="E1378" s="3"/>
      <c r="F1378" s="3"/>
      <c r="G1378" s="22"/>
      <c r="H1378" s="22"/>
      <c r="I1378" s="22"/>
      <c r="J1378" s="4"/>
      <c r="K1378" s="3"/>
      <c r="L1378" s="3"/>
      <c r="M1378" s="3"/>
      <c r="N1378" s="3"/>
      <c r="O1378" s="3"/>
      <c r="P1378" s="3"/>
    </row>
    <row r="1379" spans="2:16" ht="15" customHeight="1">
      <c r="B1379" s="3"/>
      <c r="C1379" s="3"/>
      <c r="D1379" s="3"/>
      <c r="E1379" s="3"/>
      <c r="F1379" s="3"/>
      <c r="G1379" s="22"/>
      <c r="H1379" s="22"/>
      <c r="I1379" s="22"/>
      <c r="J1379" s="4"/>
      <c r="K1379" s="3"/>
      <c r="L1379" s="3"/>
      <c r="M1379" s="3"/>
      <c r="N1379" s="3"/>
      <c r="O1379" s="3"/>
      <c r="P1379" s="3"/>
    </row>
    <row r="1380" spans="2:16" ht="15" customHeight="1">
      <c r="B1380" s="3"/>
      <c r="C1380" s="3"/>
      <c r="D1380" s="3"/>
      <c r="E1380" s="3"/>
      <c r="F1380" s="3"/>
      <c r="G1380" s="22"/>
      <c r="H1380" s="22"/>
      <c r="I1380" s="22"/>
      <c r="J1380" s="4"/>
      <c r="K1380" s="3"/>
      <c r="L1380" s="3"/>
      <c r="M1380" s="3"/>
      <c r="N1380" s="3"/>
      <c r="O1380" s="3"/>
      <c r="P1380" s="3"/>
    </row>
    <row r="1381" spans="2:16" ht="15" customHeight="1">
      <c r="B1381" s="3"/>
      <c r="C1381" s="3"/>
      <c r="D1381" s="3"/>
      <c r="E1381" s="3"/>
      <c r="F1381" s="3"/>
      <c r="G1381" s="22"/>
      <c r="H1381" s="22"/>
      <c r="I1381" s="22"/>
      <c r="J1381" s="4"/>
      <c r="K1381" s="3"/>
      <c r="L1381" s="3"/>
      <c r="M1381" s="3"/>
      <c r="N1381" s="3"/>
      <c r="O1381" s="3"/>
      <c r="P1381" s="3"/>
    </row>
    <row r="1382" spans="2:16" ht="15" customHeight="1">
      <c r="B1382" s="3"/>
      <c r="C1382" s="3"/>
      <c r="D1382" s="3"/>
      <c r="E1382" s="3"/>
      <c r="F1382" s="3"/>
      <c r="G1382" s="22"/>
      <c r="H1382" s="22"/>
      <c r="I1382" s="22"/>
      <c r="J1382" s="4"/>
      <c r="K1382" s="3"/>
      <c r="L1382" s="3"/>
      <c r="M1382" s="3"/>
      <c r="N1382" s="3"/>
      <c r="O1382" s="3"/>
      <c r="P1382" s="3"/>
    </row>
    <row r="1383" spans="2:16" ht="15" customHeight="1">
      <c r="B1383" s="3"/>
      <c r="C1383" s="3"/>
      <c r="D1383" s="3"/>
      <c r="E1383" s="3"/>
      <c r="F1383" s="3"/>
      <c r="G1383" s="22"/>
      <c r="H1383" s="22"/>
      <c r="I1383" s="22"/>
      <c r="J1383" s="4"/>
      <c r="K1383" s="3"/>
      <c r="L1383" s="3"/>
      <c r="M1383" s="3"/>
      <c r="N1383" s="3"/>
      <c r="O1383" s="3"/>
      <c r="P1383" s="3"/>
    </row>
    <row r="1384" spans="2:16" ht="15" customHeight="1">
      <c r="B1384" s="3"/>
      <c r="C1384" s="3"/>
      <c r="D1384" s="3"/>
      <c r="E1384" s="3"/>
      <c r="F1384" s="3"/>
      <c r="G1384" s="22"/>
      <c r="H1384" s="22"/>
      <c r="I1384" s="22"/>
      <c r="J1384" s="4"/>
      <c r="K1384" s="3"/>
      <c r="L1384" s="3"/>
      <c r="M1384" s="3"/>
      <c r="N1384" s="3"/>
      <c r="O1384" s="3"/>
      <c r="P1384" s="3"/>
    </row>
    <row r="1385" spans="2:16" ht="15" customHeight="1">
      <c r="B1385" s="3"/>
      <c r="C1385" s="3"/>
      <c r="D1385" s="3"/>
      <c r="E1385" s="3"/>
      <c r="F1385" s="3"/>
      <c r="G1385" s="22"/>
      <c r="H1385" s="22"/>
      <c r="I1385" s="22"/>
      <c r="J1385" s="4"/>
      <c r="K1385" s="3"/>
      <c r="L1385" s="3"/>
      <c r="M1385" s="3"/>
      <c r="N1385" s="3"/>
      <c r="O1385" s="3"/>
      <c r="P1385" s="3"/>
    </row>
    <row r="1386" spans="2:16" ht="15" customHeight="1">
      <c r="B1386" s="3"/>
      <c r="C1386" s="3"/>
      <c r="D1386" s="3"/>
      <c r="E1386" s="3"/>
      <c r="F1386" s="3"/>
      <c r="G1386" s="22"/>
      <c r="H1386" s="22"/>
      <c r="I1386" s="22"/>
      <c r="J1386" s="4"/>
      <c r="K1386" s="3"/>
      <c r="L1386" s="3"/>
      <c r="M1386" s="3"/>
      <c r="N1386" s="3"/>
      <c r="O1386" s="3"/>
      <c r="P1386" s="3"/>
    </row>
    <row r="1387" spans="2:16" ht="15" customHeight="1">
      <c r="B1387" s="3"/>
      <c r="C1387" s="3"/>
      <c r="D1387" s="3"/>
      <c r="E1387" s="3"/>
      <c r="F1387" s="3"/>
      <c r="G1387" s="22"/>
      <c r="H1387" s="22"/>
      <c r="I1387" s="22"/>
      <c r="J1387" s="4"/>
      <c r="K1387" s="3"/>
      <c r="L1387" s="3"/>
      <c r="M1387" s="3"/>
      <c r="N1387" s="3"/>
      <c r="O1387" s="3"/>
      <c r="P1387" s="3"/>
    </row>
    <row r="1388" spans="2:16" ht="15" customHeight="1">
      <c r="B1388" s="3"/>
      <c r="C1388" s="3"/>
      <c r="D1388" s="3"/>
      <c r="E1388" s="3"/>
      <c r="F1388" s="3"/>
      <c r="G1388" s="22"/>
      <c r="H1388" s="22"/>
      <c r="I1388" s="22"/>
      <c r="J1388" s="4"/>
      <c r="K1388" s="3"/>
      <c r="L1388" s="3"/>
      <c r="M1388" s="3"/>
      <c r="N1388" s="3"/>
      <c r="O1388" s="3"/>
      <c r="P1388" s="3"/>
    </row>
    <row r="1389" spans="2:16" ht="15" customHeight="1">
      <c r="B1389" s="3"/>
      <c r="C1389" s="3"/>
      <c r="D1389" s="3"/>
      <c r="E1389" s="3"/>
      <c r="F1389" s="3"/>
      <c r="G1389" s="22"/>
      <c r="H1389" s="22"/>
      <c r="I1389" s="22"/>
      <c r="J1389" s="4"/>
      <c r="K1389" s="3"/>
      <c r="L1389" s="3"/>
      <c r="M1389" s="3"/>
      <c r="N1389" s="3"/>
      <c r="O1389" s="3"/>
      <c r="P1389" s="3"/>
    </row>
    <row r="1390" spans="2:16" ht="15" customHeight="1">
      <c r="B1390" s="3"/>
      <c r="C1390" s="3"/>
      <c r="D1390" s="3"/>
      <c r="E1390" s="3"/>
      <c r="F1390" s="3"/>
      <c r="G1390" s="22"/>
      <c r="H1390" s="22"/>
      <c r="I1390" s="22"/>
      <c r="J1390" s="4"/>
      <c r="K1390" s="3"/>
      <c r="L1390" s="3"/>
      <c r="M1390" s="3"/>
      <c r="N1390" s="3"/>
      <c r="O1390" s="3"/>
      <c r="P1390" s="3"/>
    </row>
    <row r="1391" spans="2:16" ht="15" customHeight="1">
      <c r="B1391" s="3"/>
      <c r="C1391" s="3"/>
      <c r="D1391" s="3"/>
      <c r="E1391" s="3"/>
      <c r="F1391" s="3"/>
      <c r="G1391" s="22"/>
      <c r="H1391" s="22"/>
      <c r="I1391" s="22"/>
      <c r="J1391" s="4"/>
      <c r="K1391" s="3"/>
      <c r="L1391" s="3"/>
      <c r="M1391" s="3"/>
      <c r="N1391" s="3"/>
      <c r="O1391" s="3"/>
      <c r="P1391" s="3"/>
    </row>
    <row r="1392" spans="2:16" ht="15" customHeight="1">
      <c r="B1392" s="3"/>
      <c r="C1392" s="3"/>
      <c r="D1392" s="3"/>
      <c r="E1392" s="3"/>
      <c r="F1392" s="3"/>
      <c r="G1392" s="22"/>
      <c r="H1392" s="22"/>
      <c r="I1392" s="22"/>
      <c r="J1392" s="4"/>
      <c r="K1392" s="3"/>
      <c r="L1392" s="3"/>
      <c r="M1392" s="3"/>
      <c r="N1392" s="3"/>
      <c r="O1392" s="3"/>
      <c r="P1392" s="3"/>
    </row>
    <row r="1393" spans="2:16" ht="15" customHeight="1">
      <c r="B1393" s="3"/>
      <c r="C1393" s="3"/>
      <c r="D1393" s="3"/>
      <c r="E1393" s="3"/>
      <c r="F1393" s="3"/>
      <c r="G1393" s="22"/>
      <c r="H1393" s="22"/>
      <c r="I1393" s="22"/>
      <c r="J1393" s="4"/>
      <c r="K1393" s="3"/>
      <c r="L1393" s="3"/>
      <c r="M1393" s="3"/>
      <c r="N1393" s="3"/>
      <c r="O1393" s="3"/>
      <c r="P1393" s="3"/>
    </row>
    <row r="1394" spans="2:16" ht="15" customHeight="1">
      <c r="B1394" s="3"/>
      <c r="C1394" s="3"/>
      <c r="D1394" s="3"/>
      <c r="E1394" s="3"/>
      <c r="F1394" s="3"/>
      <c r="G1394" s="22"/>
      <c r="H1394" s="22"/>
      <c r="I1394" s="22"/>
      <c r="J1394" s="4"/>
      <c r="K1394" s="3"/>
      <c r="L1394" s="3"/>
      <c r="M1394" s="3"/>
      <c r="N1394" s="3"/>
      <c r="O1394" s="3"/>
      <c r="P1394" s="3"/>
    </row>
    <row r="1395" spans="2:16" ht="15" customHeight="1">
      <c r="B1395" s="3"/>
      <c r="C1395" s="3"/>
      <c r="D1395" s="3"/>
      <c r="E1395" s="3"/>
      <c r="F1395" s="3"/>
      <c r="G1395" s="22"/>
      <c r="H1395" s="22"/>
      <c r="I1395" s="22"/>
      <c r="J1395" s="4"/>
      <c r="K1395" s="3"/>
      <c r="L1395" s="3"/>
      <c r="M1395" s="3"/>
      <c r="N1395" s="3"/>
      <c r="O1395" s="3"/>
      <c r="P1395" s="3"/>
    </row>
    <row r="1396" spans="2:16" ht="15" customHeight="1">
      <c r="B1396" s="3"/>
      <c r="C1396" s="3"/>
      <c r="D1396" s="3"/>
      <c r="E1396" s="3"/>
      <c r="F1396" s="3"/>
      <c r="G1396" s="22"/>
      <c r="H1396" s="22"/>
      <c r="I1396" s="22"/>
      <c r="J1396" s="4"/>
      <c r="K1396" s="3"/>
      <c r="L1396" s="3"/>
      <c r="M1396" s="3"/>
      <c r="N1396" s="3"/>
      <c r="O1396" s="3"/>
      <c r="P1396" s="3"/>
    </row>
    <row r="1397" spans="2:16" ht="15" customHeight="1">
      <c r="B1397" s="3"/>
      <c r="C1397" s="3"/>
      <c r="D1397" s="3"/>
      <c r="E1397" s="3"/>
      <c r="F1397" s="3"/>
      <c r="G1397" s="22"/>
      <c r="H1397" s="22"/>
      <c r="I1397" s="22"/>
      <c r="J1397" s="4"/>
      <c r="K1397" s="3"/>
      <c r="L1397" s="3"/>
      <c r="M1397" s="3"/>
      <c r="N1397" s="3"/>
      <c r="O1397" s="3"/>
      <c r="P1397" s="3"/>
    </row>
    <row r="1398" spans="2:16" ht="15" customHeight="1">
      <c r="B1398" s="3"/>
      <c r="C1398" s="3"/>
      <c r="D1398" s="3"/>
      <c r="E1398" s="3"/>
      <c r="F1398" s="3"/>
      <c r="G1398" s="22"/>
      <c r="H1398" s="22"/>
      <c r="I1398" s="22"/>
      <c r="J1398" s="4"/>
      <c r="K1398" s="3"/>
      <c r="L1398" s="3"/>
      <c r="M1398" s="3"/>
      <c r="N1398" s="3"/>
      <c r="O1398" s="3"/>
      <c r="P1398" s="3"/>
    </row>
    <row r="1399" spans="2:16" ht="15" customHeight="1">
      <c r="B1399" s="3"/>
      <c r="C1399" s="3"/>
      <c r="D1399" s="3"/>
      <c r="E1399" s="3"/>
      <c r="F1399" s="3"/>
      <c r="G1399" s="22"/>
      <c r="H1399" s="22"/>
      <c r="I1399" s="22"/>
      <c r="J1399" s="4"/>
      <c r="K1399" s="3"/>
      <c r="L1399" s="3"/>
      <c r="M1399" s="3"/>
      <c r="N1399" s="3"/>
      <c r="O1399" s="3"/>
      <c r="P1399" s="3"/>
    </row>
    <row r="1400" spans="2:16" ht="15" customHeight="1">
      <c r="B1400" s="3"/>
      <c r="C1400" s="3"/>
      <c r="D1400" s="3"/>
      <c r="E1400" s="3"/>
      <c r="F1400" s="3"/>
      <c r="G1400" s="22"/>
      <c r="H1400" s="22"/>
      <c r="I1400" s="22"/>
      <c r="J1400" s="4"/>
      <c r="K1400" s="3"/>
      <c r="L1400" s="3"/>
      <c r="M1400" s="3"/>
      <c r="N1400" s="3"/>
      <c r="O1400" s="3"/>
      <c r="P1400" s="3"/>
    </row>
    <row r="1401" spans="2:16" ht="15" customHeight="1">
      <c r="B1401" s="3"/>
      <c r="C1401" s="3"/>
      <c r="D1401" s="3"/>
      <c r="E1401" s="3"/>
      <c r="F1401" s="3"/>
      <c r="G1401" s="22"/>
      <c r="H1401" s="22"/>
      <c r="I1401" s="22"/>
      <c r="J1401" s="4"/>
      <c r="K1401" s="3"/>
      <c r="L1401" s="3"/>
      <c r="M1401" s="3"/>
      <c r="N1401" s="3"/>
      <c r="O1401" s="3"/>
      <c r="P1401" s="3"/>
    </row>
    <row r="1402" spans="2:16" ht="15" customHeight="1">
      <c r="B1402" s="3"/>
      <c r="C1402" s="3"/>
      <c r="D1402" s="3"/>
      <c r="E1402" s="3"/>
      <c r="F1402" s="3"/>
      <c r="G1402" s="22"/>
      <c r="H1402" s="22"/>
      <c r="I1402" s="22"/>
      <c r="J1402" s="4"/>
      <c r="K1402" s="3"/>
      <c r="L1402" s="3"/>
      <c r="M1402" s="3"/>
      <c r="N1402" s="3"/>
      <c r="O1402" s="3"/>
      <c r="P1402" s="3"/>
    </row>
    <row r="1403" spans="2:16" ht="15" customHeight="1">
      <c r="B1403" s="3"/>
      <c r="C1403" s="3"/>
      <c r="D1403" s="3"/>
      <c r="E1403" s="3"/>
      <c r="F1403" s="3"/>
      <c r="G1403" s="22"/>
      <c r="H1403" s="22"/>
      <c r="I1403" s="22"/>
      <c r="J1403" s="4"/>
      <c r="K1403" s="3"/>
      <c r="L1403" s="3"/>
      <c r="M1403" s="3"/>
      <c r="N1403" s="3"/>
      <c r="O1403" s="3"/>
      <c r="P1403" s="3"/>
    </row>
    <row r="1404" spans="2:16" ht="15" customHeight="1">
      <c r="B1404" s="3"/>
      <c r="C1404" s="3"/>
      <c r="D1404" s="3"/>
      <c r="E1404" s="3"/>
      <c r="F1404" s="3"/>
      <c r="G1404" s="22"/>
      <c r="H1404" s="22"/>
      <c r="I1404" s="22"/>
      <c r="J1404" s="4"/>
      <c r="K1404" s="3"/>
      <c r="L1404" s="3"/>
      <c r="M1404" s="3"/>
      <c r="N1404" s="3"/>
      <c r="O1404" s="3"/>
      <c r="P1404" s="3"/>
    </row>
    <row r="1405" spans="2:16" ht="15" customHeight="1">
      <c r="B1405" s="3"/>
      <c r="C1405" s="3"/>
      <c r="D1405" s="3"/>
      <c r="E1405" s="3"/>
      <c r="F1405" s="3"/>
      <c r="G1405" s="22"/>
      <c r="H1405" s="22"/>
      <c r="I1405" s="22"/>
      <c r="J1405" s="4"/>
      <c r="K1405" s="3"/>
      <c r="L1405" s="3"/>
      <c r="M1405" s="3"/>
      <c r="N1405" s="3"/>
      <c r="O1405" s="3"/>
      <c r="P1405" s="3"/>
    </row>
    <row r="1406" spans="2:16" ht="15" customHeight="1">
      <c r="B1406" s="3"/>
      <c r="C1406" s="3"/>
      <c r="D1406" s="3"/>
      <c r="E1406" s="3"/>
      <c r="F1406" s="3"/>
      <c r="G1406" s="22"/>
      <c r="H1406" s="22"/>
      <c r="I1406" s="22"/>
      <c r="J1406" s="4"/>
      <c r="K1406" s="3"/>
      <c r="L1406" s="3"/>
      <c r="M1406" s="3"/>
      <c r="N1406" s="3"/>
      <c r="O1406" s="3"/>
      <c r="P1406" s="3"/>
    </row>
    <row r="1407" spans="2:16" ht="15" customHeight="1">
      <c r="B1407" s="3"/>
      <c r="C1407" s="3"/>
      <c r="D1407" s="3"/>
      <c r="E1407" s="3"/>
      <c r="F1407" s="3"/>
      <c r="G1407" s="22"/>
      <c r="H1407" s="22"/>
      <c r="I1407" s="22"/>
      <c r="J1407" s="4"/>
      <c r="K1407" s="3"/>
      <c r="L1407" s="3"/>
      <c r="M1407" s="3"/>
      <c r="N1407" s="3"/>
      <c r="O1407" s="3"/>
      <c r="P1407" s="3"/>
    </row>
    <row r="1408" spans="2:16" ht="15" customHeight="1">
      <c r="B1408" s="3"/>
      <c r="C1408" s="3"/>
      <c r="D1408" s="3"/>
      <c r="E1408" s="3"/>
      <c r="F1408" s="3"/>
      <c r="G1408" s="22"/>
      <c r="H1408" s="22"/>
      <c r="I1408" s="22"/>
      <c r="J1408" s="4"/>
      <c r="K1408" s="3"/>
      <c r="L1408" s="3"/>
      <c r="M1408" s="3"/>
      <c r="N1408" s="3"/>
      <c r="O1408" s="3"/>
      <c r="P1408" s="3"/>
    </row>
    <row r="1409" spans="2:16" ht="15" customHeight="1">
      <c r="B1409" s="3"/>
      <c r="C1409" s="3"/>
      <c r="D1409" s="3"/>
      <c r="E1409" s="3"/>
      <c r="F1409" s="3"/>
      <c r="G1409" s="22"/>
      <c r="H1409" s="22"/>
      <c r="I1409" s="22"/>
      <c r="J1409" s="4"/>
      <c r="K1409" s="3"/>
      <c r="L1409" s="3"/>
      <c r="M1409" s="3"/>
      <c r="N1409" s="3"/>
      <c r="O1409" s="3"/>
      <c r="P1409" s="3"/>
    </row>
    <row r="1410" spans="2:16" ht="15" customHeight="1">
      <c r="B1410" s="3"/>
      <c r="C1410" s="3"/>
      <c r="D1410" s="3"/>
      <c r="E1410" s="3"/>
      <c r="F1410" s="3"/>
      <c r="G1410" s="22"/>
      <c r="H1410" s="22"/>
      <c r="I1410" s="22"/>
      <c r="J1410" s="4"/>
      <c r="K1410" s="3"/>
      <c r="L1410" s="3"/>
      <c r="M1410" s="3"/>
      <c r="N1410" s="3"/>
      <c r="O1410" s="3"/>
      <c r="P1410" s="3"/>
    </row>
    <row r="1411" spans="2:16" ht="15" customHeight="1">
      <c r="B1411" s="3"/>
      <c r="C1411" s="3"/>
      <c r="D1411" s="3"/>
      <c r="E1411" s="3"/>
      <c r="F1411" s="3"/>
      <c r="G1411" s="22"/>
      <c r="H1411" s="22"/>
      <c r="I1411" s="22"/>
      <c r="J1411" s="4"/>
      <c r="K1411" s="3"/>
      <c r="L1411" s="3"/>
      <c r="M1411" s="3"/>
      <c r="N1411" s="3"/>
      <c r="O1411" s="3"/>
      <c r="P1411" s="3"/>
    </row>
  </sheetData>
  <autoFilter ref="A2:P1084" xr:uid="{AA828E1E-1DE4-42CD-9462-2CB92D60976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4B6F-23EE-47FD-9A01-78A43D2E34F8}">
  <dimension ref="A1:K90"/>
  <sheetViews>
    <sheetView topLeftCell="C1" zoomScale="85" zoomScaleNormal="85" workbookViewId="0">
      <selection activeCell="G22" sqref="G22"/>
    </sheetView>
  </sheetViews>
  <sheetFormatPr defaultRowHeight="18.75"/>
  <cols>
    <col min="1" max="1" width="20" style="2" hidden="1" customWidth="1"/>
    <col min="2" max="2" width="40.42578125" style="2" hidden="1" customWidth="1"/>
    <col min="4" max="4" width="13.85546875" style="2" customWidth="1"/>
    <col min="5" max="5" width="27.140625" style="2" customWidth="1"/>
    <col min="6" max="6" width="28.28515625" style="2" customWidth="1"/>
    <col min="7" max="7" width="15.7109375" style="2" customWidth="1"/>
    <col min="8" max="16384" width="9.140625" style="2"/>
  </cols>
  <sheetData>
    <row r="1" spans="1:11">
      <c r="A1" s="26" t="s">
        <v>821</v>
      </c>
      <c r="B1" s="26" t="s">
        <v>820</v>
      </c>
      <c r="D1" s="25" t="s">
        <v>834</v>
      </c>
    </row>
    <row r="2" spans="1:11" ht="20.25">
      <c r="A2" s="1">
        <v>1</v>
      </c>
      <c r="B2" s="1" t="s">
        <v>54</v>
      </c>
      <c r="D2" s="25" t="s">
        <v>821</v>
      </c>
      <c r="E2" s="25" t="s">
        <v>822</v>
      </c>
      <c r="F2" s="25" t="s">
        <v>827</v>
      </c>
      <c r="G2" s="25" t="s">
        <v>820</v>
      </c>
    </row>
    <row r="3" spans="1:11" ht="20.25">
      <c r="A3" s="1">
        <v>1</v>
      </c>
      <c r="B3" s="1" t="s">
        <v>56</v>
      </c>
      <c r="D3" s="2">
        <v>1</v>
      </c>
      <c r="E3" s="2" t="s">
        <v>824</v>
      </c>
      <c r="F3" s="2" t="s">
        <v>830</v>
      </c>
      <c r="G3" s="2" t="s">
        <v>832</v>
      </c>
      <c r="K3" s="2">
        <v>5</v>
      </c>
    </row>
    <row r="4" spans="1:11" ht="20.25">
      <c r="A4" s="1">
        <v>1</v>
      </c>
      <c r="B4" s="27" t="s">
        <v>62</v>
      </c>
      <c r="D4" s="2">
        <v>2</v>
      </c>
      <c r="E4" s="2" t="s">
        <v>838</v>
      </c>
      <c r="F4" s="2" t="s">
        <v>829</v>
      </c>
      <c r="G4" s="2" t="s">
        <v>831</v>
      </c>
    </row>
    <row r="5" spans="1:11" ht="20.25">
      <c r="A5" s="1">
        <v>1</v>
      </c>
      <c r="B5" s="1" t="s">
        <v>103</v>
      </c>
      <c r="D5" s="2">
        <v>3</v>
      </c>
      <c r="E5" s="2" t="s">
        <v>823</v>
      </c>
      <c r="F5" s="2" t="s">
        <v>828</v>
      </c>
      <c r="G5" s="2" t="s">
        <v>832</v>
      </c>
    </row>
    <row r="6" spans="1:11" ht="20.25">
      <c r="A6" s="1">
        <v>1</v>
      </c>
      <c r="B6" s="1" t="s">
        <v>285</v>
      </c>
      <c r="D6" s="2" t="s">
        <v>844</v>
      </c>
      <c r="E6" s="2" t="s">
        <v>826</v>
      </c>
      <c r="F6" s="2" t="s">
        <v>829</v>
      </c>
      <c r="G6" s="2" t="s">
        <v>833</v>
      </c>
    </row>
    <row r="7" spans="1:11" ht="20.25">
      <c r="A7" s="1">
        <v>1</v>
      </c>
      <c r="B7" s="1" t="s">
        <v>291</v>
      </c>
      <c r="D7" s="2" t="s">
        <v>845</v>
      </c>
      <c r="E7" s="2" t="s">
        <v>825</v>
      </c>
      <c r="F7" s="2" t="s">
        <v>829</v>
      </c>
      <c r="G7" s="2" t="s">
        <v>833</v>
      </c>
    </row>
    <row r="8" spans="1:11" ht="20.25">
      <c r="A8" s="1">
        <v>1</v>
      </c>
      <c r="B8" s="1" t="s">
        <v>293</v>
      </c>
      <c r="D8" s="2">
        <v>4</v>
      </c>
      <c r="E8" s="2" t="s">
        <v>839</v>
      </c>
      <c r="F8" s="2" t="s">
        <v>837</v>
      </c>
      <c r="G8" s="2" t="s">
        <v>840</v>
      </c>
    </row>
    <row r="9" spans="1:11" ht="20.25">
      <c r="A9" s="1">
        <v>1</v>
      </c>
      <c r="B9" s="1" t="s">
        <v>332</v>
      </c>
    </row>
    <row r="10" spans="1:11" ht="20.25">
      <c r="A10" s="1">
        <v>1</v>
      </c>
      <c r="B10" s="1" t="s">
        <v>406</v>
      </c>
    </row>
    <row r="11" spans="1:11" ht="20.25">
      <c r="A11" s="1">
        <v>1</v>
      </c>
      <c r="B11" s="1" t="s">
        <v>476</v>
      </c>
      <c r="D11" s="25" t="s">
        <v>835</v>
      </c>
    </row>
    <row r="12" spans="1:11" ht="20.25">
      <c r="A12" s="1">
        <v>1</v>
      </c>
      <c r="B12" s="1" t="s">
        <v>614</v>
      </c>
      <c r="D12" s="25" t="s">
        <v>821</v>
      </c>
      <c r="E12" s="25" t="s">
        <v>822</v>
      </c>
      <c r="F12" s="25" t="s">
        <v>827</v>
      </c>
      <c r="G12" s="25" t="s">
        <v>820</v>
      </c>
    </row>
    <row r="13" spans="1:11" ht="20.25">
      <c r="A13" s="1">
        <v>1</v>
      </c>
      <c r="B13" s="1" t="s">
        <v>647</v>
      </c>
      <c r="D13" s="2">
        <v>1</v>
      </c>
      <c r="E13" s="2" t="s">
        <v>717</v>
      </c>
      <c r="F13" s="2" t="s">
        <v>828</v>
      </c>
      <c r="G13" s="2" t="s">
        <v>832</v>
      </c>
    </row>
    <row r="14" spans="1:11" ht="20.25">
      <c r="A14" s="1">
        <v>1</v>
      </c>
      <c r="B14" s="1" t="s">
        <v>655</v>
      </c>
      <c r="D14" s="2">
        <v>2</v>
      </c>
      <c r="E14" s="2" t="s">
        <v>836</v>
      </c>
      <c r="F14" s="2" t="s">
        <v>830</v>
      </c>
      <c r="G14" s="2" t="s">
        <v>831</v>
      </c>
    </row>
    <row r="15" spans="1:11" ht="20.25">
      <c r="A15" s="1">
        <v>1</v>
      </c>
      <c r="B15" s="1" t="s">
        <v>663</v>
      </c>
      <c r="D15" s="2">
        <v>3</v>
      </c>
      <c r="E15" s="2" t="s">
        <v>657</v>
      </c>
      <c r="F15" s="2" t="s">
        <v>830</v>
      </c>
      <c r="G15" s="2" t="s">
        <v>831</v>
      </c>
    </row>
    <row r="16" spans="1:11" ht="20.25">
      <c r="A16" s="1">
        <v>1</v>
      </c>
      <c r="B16" s="1" t="s">
        <v>674</v>
      </c>
      <c r="D16" s="2">
        <v>4</v>
      </c>
      <c r="E16" s="2" t="s">
        <v>841</v>
      </c>
      <c r="F16" s="2" t="s">
        <v>842</v>
      </c>
      <c r="G16" s="2" t="s">
        <v>843</v>
      </c>
    </row>
    <row r="17" spans="1:7" ht="20.25">
      <c r="A17" s="1">
        <v>1</v>
      </c>
      <c r="B17" s="1" t="s">
        <v>687</v>
      </c>
    </row>
    <row r="18" spans="1:7" ht="20.25">
      <c r="A18" s="1">
        <v>1</v>
      </c>
      <c r="B18" s="1" t="s">
        <v>699</v>
      </c>
    </row>
    <row r="19" spans="1:7" ht="20.25">
      <c r="A19" s="1">
        <v>1</v>
      </c>
      <c r="B19" s="27" t="s">
        <v>715</v>
      </c>
      <c r="D19"/>
    </row>
    <row r="20" spans="1:7" ht="20.25">
      <c r="A20" s="1">
        <v>1</v>
      </c>
      <c r="B20" s="1" t="s">
        <v>755</v>
      </c>
      <c r="D20"/>
    </row>
    <row r="21" spans="1:7" ht="20.25">
      <c r="A21" s="1">
        <v>1</v>
      </c>
      <c r="B21" s="1" t="s">
        <v>760</v>
      </c>
      <c r="D21" s="61">
        <v>45927</v>
      </c>
      <c r="E21" s="2" t="s">
        <v>856</v>
      </c>
      <c r="F21" s="2" t="s">
        <v>10</v>
      </c>
      <c r="G21" s="2" t="s">
        <v>851</v>
      </c>
    </row>
    <row r="22" spans="1:7" ht="20.25">
      <c r="A22" s="1">
        <v>2</v>
      </c>
      <c r="B22" s="1" t="s">
        <v>14</v>
      </c>
      <c r="D22" s="61">
        <v>45994</v>
      </c>
      <c r="E22" s="2" t="s">
        <v>857</v>
      </c>
      <c r="F22" s="2" t="s">
        <v>592</v>
      </c>
      <c r="G22" s="2" t="s">
        <v>852</v>
      </c>
    </row>
    <row r="23" spans="1:7" ht="20.25">
      <c r="A23" s="1">
        <v>2</v>
      </c>
      <c r="B23" s="1" t="s">
        <v>21</v>
      </c>
      <c r="D23" s="61">
        <v>46081</v>
      </c>
      <c r="E23" s="2" t="s">
        <v>858</v>
      </c>
      <c r="F23" s="2" t="s">
        <v>855</v>
      </c>
      <c r="G23" s="2" t="s">
        <v>853</v>
      </c>
    </row>
    <row r="24" spans="1:7" ht="20.25">
      <c r="A24" s="1">
        <v>2</v>
      </c>
      <c r="B24" s="1" t="s">
        <v>24</v>
      </c>
      <c r="D24"/>
    </row>
    <row r="25" spans="1:7" ht="20.25">
      <c r="A25" s="1">
        <v>2</v>
      </c>
      <c r="B25" s="1" t="s">
        <v>25</v>
      </c>
      <c r="D25"/>
    </row>
    <row r="26" spans="1:7" ht="20.25">
      <c r="A26" s="1">
        <v>2</v>
      </c>
      <c r="B26" s="1" t="s">
        <v>30</v>
      </c>
      <c r="D26"/>
    </row>
    <row r="27" spans="1:7" ht="20.25">
      <c r="A27" s="1">
        <v>2</v>
      </c>
      <c r="B27" s="1" t="s">
        <v>34</v>
      </c>
      <c r="D27"/>
    </row>
    <row r="28" spans="1:7" ht="20.25">
      <c r="A28" s="1">
        <v>2</v>
      </c>
      <c r="B28" s="1" t="s">
        <v>42</v>
      </c>
      <c r="D28"/>
    </row>
    <row r="29" spans="1:7" ht="20.25">
      <c r="A29" s="1">
        <v>2</v>
      </c>
      <c r="B29" s="1" t="s">
        <v>46</v>
      </c>
      <c r="D29"/>
    </row>
    <row r="30" spans="1:7" ht="20.25">
      <c r="A30" s="1">
        <v>2</v>
      </c>
      <c r="B30" s="1" t="s">
        <v>51</v>
      </c>
      <c r="D30"/>
    </row>
    <row r="31" spans="1:7" ht="20.25">
      <c r="A31" s="1">
        <v>2</v>
      </c>
      <c r="B31" s="1" t="s">
        <v>60</v>
      </c>
      <c r="D31"/>
    </row>
    <row r="32" spans="1:7" ht="20.25">
      <c r="A32" s="1">
        <v>2</v>
      </c>
      <c r="B32" s="1" t="s">
        <v>65</v>
      </c>
      <c r="D32"/>
    </row>
    <row r="33" spans="1:4" ht="20.25">
      <c r="A33" s="1">
        <v>2</v>
      </c>
      <c r="B33" s="1" t="s">
        <v>76</v>
      </c>
      <c r="D33"/>
    </row>
    <row r="34" spans="1:4" ht="20.25">
      <c r="A34" s="1">
        <v>2</v>
      </c>
      <c r="B34" s="1" t="s">
        <v>80</v>
      </c>
      <c r="D34"/>
    </row>
    <row r="35" spans="1:4" ht="20.25">
      <c r="A35" s="1">
        <v>2</v>
      </c>
      <c r="B35" s="1" t="s">
        <v>82</v>
      </c>
      <c r="D35"/>
    </row>
    <row r="36" spans="1:4" ht="20.25">
      <c r="A36" s="1">
        <v>2</v>
      </c>
      <c r="B36" s="1" t="s">
        <v>109</v>
      </c>
      <c r="D36"/>
    </row>
    <row r="37" spans="1:4" ht="20.25">
      <c r="A37" s="1">
        <v>2</v>
      </c>
      <c r="B37" s="1" t="s">
        <v>111</v>
      </c>
      <c r="D37"/>
    </row>
    <row r="38" spans="1:4" ht="20.25">
      <c r="A38" s="1">
        <v>2</v>
      </c>
      <c r="B38" s="1" t="s">
        <v>166</v>
      </c>
      <c r="D38"/>
    </row>
    <row r="39" spans="1:4" ht="20.25">
      <c r="A39" s="1">
        <v>2</v>
      </c>
      <c r="B39" s="1" t="s">
        <v>171</v>
      </c>
      <c r="D39"/>
    </row>
    <row r="40" spans="1:4" ht="20.25">
      <c r="A40" s="1">
        <v>2</v>
      </c>
      <c r="B40" s="1" t="s">
        <v>198</v>
      </c>
      <c r="D40"/>
    </row>
    <row r="41" spans="1:4" ht="20.25">
      <c r="A41" s="1">
        <v>2</v>
      </c>
      <c r="B41" s="1" t="s">
        <v>221</v>
      </c>
      <c r="D41"/>
    </row>
    <row r="42" spans="1:4" ht="20.25">
      <c r="A42" s="1">
        <v>2</v>
      </c>
      <c r="B42" s="1" t="s">
        <v>277</v>
      </c>
      <c r="D42"/>
    </row>
    <row r="43" spans="1:4" ht="20.25">
      <c r="A43" s="1">
        <v>2</v>
      </c>
      <c r="B43" s="1" t="s">
        <v>281</v>
      </c>
      <c r="D43"/>
    </row>
    <row r="44" spans="1:4" ht="20.25">
      <c r="A44" s="1">
        <v>2</v>
      </c>
      <c r="B44" s="1" t="s">
        <v>355</v>
      </c>
      <c r="D44"/>
    </row>
    <row r="45" spans="1:4" ht="20.25">
      <c r="A45" s="1">
        <v>2</v>
      </c>
      <c r="B45" s="1" t="s">
        <v>379</v>
      </c>
      <c r="D45"/>
    </row>
    <row r="46" spans="1:4" ht="20.25">
      <c r="A46" s="1">
        <v>2</v>
      </c>
      <c r="B46" s="1" t="s">
        <v>382</v>
      </c>
      <c r="D46"/>
    </row>
    <row r="47" spans="1:4" ht="20.25">
      <c r="A47" s="1">
        <v>2</v>
      </c>
      <c r="B47" s="1" t="s">
        <v>388</v>
      </c>
      <c r="D47"/>
    </row>
    <row r="48" spans="1:4" ht="20.25">
      <c r="A48" s="1">
        <v>2</v>
      </c>
      <c r="B48" s="1" t="s">
        <v>478</v>
      </c>
      <c r="D48"/>
    </row>
    <row r="49" spans="1:4" ht="20.25">
      <c r="A49" s="1">
        <v>2</v>
      </c>
      <c r="B49" s="1" t="s">
        <v>483</v>
      </c>
      <c r="D49"/>
    </row>
    <row r="50" spans="1:4" ht="20.25">
      <c r="A50" s="1">
        <v>2</v>
      </c>
      <c r="B50" s="1" t="s">
        <v>579</v>
      </c>
      <c r="D50"/>
    </row>
    <row r="51" spans="1:4" ht="20.25">
      <c r="A51" s="1">
        <v>2</v>
      </c>
      <c r="B51" s="1" t="s">
        <v>645</v>
      </c>
      <c r="D51"/>
    </row>
    <row r="52" spans="1:4" ht="20.25">
      <c r="A52" s="1">
        <v>2</v>
      </c>
      <c r="B52" s="1" t="s">
        <v>127</v>
      </c>
      <c r="D52"/>
    </row>
    <row r="53" spans="1:4" ht="20.25">
      <c r="A53" s="1">
        <v>3</v>
      </c>
      <c r="B53" s="1" t="s">
        <v>12</v>
      </c>
      <c r="D53"/>
    </row>
    <row r="54" spans="1:4" ht="20.25">
      <c r="A54" s="1">
        <v>3</v>
      </c>
      <c r="B54" s="1" t="s">
        <v>38</v>
      </c>
      <c r="D54"/>
    </row>
    <row r="55" spans="1:4" ht="20.25">
      <c r="A55" s="1">
        <v>3</v>
      </c>
      <c r="B55" s="1" t="s">
        <v>44</v>
      </c>
      <c r="D55"/>
    </row>
    <row r="56" spans="1:4" ht="20.25">
      <c r="A56" s="1">
        <v>3</v>
      </c>
      <c r="B56" s="1" t="s">
        <v>147</v>
      </c>
      <c r="D56"/>
    </row>
    <row r="57" spans="1:4" ht="20.25">
      <c r="A57" s="1">
        <v>3</v>
      </c>
      <c r="B57" s="29" t="s">
        <v>521</v>
      </c>
      <c r="D57"/>
    </row>
    <row r="58" spans="1:4" ht="20.25">
      <c r="A58" s="1">
        <v>5</v>
      </c>
      <c r="B58" s="28" t="s">
        <v>549</v>
      </c>
      <c r="D58"/>
    </row>
    <row r="59" spans="1:4" ht="20.25">
      <c r="A59" s="1">
        <v>5</v>
      </c>
      <c r="B59" s="1" t="s">
        <v>657</v>
      </c>
      <c r="D59"/>
    </row>
    <row r="60" spans="1:4" ht="20.25">
      <c r="A60" s="1">
        <v>5</v>
      </c>
      <c r="B60" s="1" t="s">
        <v>713</v>
      </c>
      <c r="D60"/>
    </row>
    <row r="61" spans="1:4" ht="20.25">
      <c r="A61" s="1">
        <v>5</v>
      </c>
      <c r="B61" s="27" t="s">
        <v>717</v>
      </c>
      <c r="D61"/>
    </row>
    <row r="62" spans="1:4" ht="20.25">
      <c r="A62" s="1">
        <v>5</v>
      </c>
      <c r="B62" s="1" t="s">
        <v>566</v>
      </c>
      <c r="D62"/>
    </row>
    <row r="63" spans="1:4" ht="20.25">
      <c r="A63" s="1" t="s">
        <v>517</v>
      </c>
      <c r="B63" s="28" t="s">
        <v>46</v>
      </c>
      <c r="D63"/>
    </row>
    <row r="64" spans="1:4" ht="20.25">
      <c r="A64" s="1" t="s">
        <v>517</v>
      </c>
      <c r="B64" s="28" t="s">
        <v>523</v>
      </c>
      <c r="D64"/>
    </row>
    <row r="65" spans="1:4" ht="20.25">
      <c r="A65" s="1" t="s">
        <v>517</v>
      </c>
      <c r="B65" s="28" t="s">
        <v>446</v>
      </c>
      <c r="D65"/>
    </row>
    <row r="66" spans="1:4" ht="20.25">
      <c r="A66" s="1" t="s">
        <v>517</v>
      </c>
      <c r="B66" s="28" t="s">
        <v>21</v>
      </c>
      <c r="D66"/>
    </row>
    <row r="67" spans="1:4" ht="20.25">
      <c r="A67" s="1" t="s">
        <v>517</v>
      </c>
      <c r="B67" s="1" t="s">
        <v>51</v>
      </c>
      <c r="D67"/>
    </row>
    <row r="68" spans="1:4" ht="20.25">
      <c r="A68" s="1" t="s">
        <v>517</v>
      </c>
      <c r="B68" s="1" t="s">
        <v>566</v>
      </c>
      <c r="D68"/>
    </row>
    <row r="69" spans="1:4" ht="20.25">
      <c r="A69" s="1" t="s">
        <v>517</v>
      </c>
      <c r="B69" s="28" t="s">
        <v>12</v>
      </c>
      <c r="D69"/>
    </row>
    <row r="70" spans="1:4" ht="20.25">
      <c r="A70" s="1" t="s">
        <v>517</v>
      </c>
      <c r="B70" s="1" t="s">
        <v>127</v>
      </c>
      <c r="D70"/>
    </row>
    <row r="71" spans="1:4" ht="20.25">
      <c r="A71" s="1" t="s">
        <v>517</v>
      </c>
      <c r="B71" s="1" t="s">
        <v>80</v>
      </c>
      <c r="D71"/>
    </row>
    <row r="72" spans="1:4" ht="20.25">
      <c r="A72" s="1" t="s">
        <v>517</v>
      </c>
      <c r="B72" s="28" t="s">
        <v>281</v>
      </c>
      <c r="D72"/>
    </row>
    <row r="73" spans="1:4" ht="20.25">
      <c r="A73" s="1" t="s">
        <v>517</v>
      </c>
      <c r="B73" s="28" t="s">
        <v>130</v>
      </c>
      <c r="D73"/>
    </row>
    <row r="74" spans="1:4" ht="20.25">
      <c r="A74" s="1" t="s">
        <v>517</v>
      </c>
      <c r="B74" s="28" t="s">
        <v>76</v>
      </c>
      <c r="D74"/>
    </row>
    <row r="75" spans="1:4" ht="20.25">
      <c r="A75" s="1" t="s">
        <v>517</v>
      </c>
      <c r="B75" s="28" t="s">
        <v>414</v>
      </c>
      <c r="D75"/>
    </row>
    <row r="76" spans="1:4" ht="20.25">
      <c r="A76" s="1" t="s">
        <v>517</v>
      </c>
      <c r="B76" s="30" t="s">
        <v>715</v>
      </c>
      <c r="D76"/>
    </row>
    <row r="77" spans="1:4" ht="20.25">
      <c r="A77" s="1" t="s">
        <v>128</v>
      </c>
      <c r="B77" s="1" t="s">
        <v>127</v>
      </c>
      <c r="D77"/>
    </row>
    <row r="78" spans="1:4" ht="20.25">
      <c r="A78" s="1" t="s">
        <v>128</v>
      </c>
      <c r="B78" s="28" t="s">
        <v>12</v>
      </c>
      <c r="D78"/>
    </row>
    <row r="79" spans="1:4" ht="20.25">
      <c r="A79" s="1" t="s">
        <v>128</v>
      </c>
      <c r="B79" s="28" t="s">
        <v>80</v>
      </c>
      <c r="D79"/>
    </row>
    <row r="80" spans="1:4" ht="20.25">
      <c r="A80" s="1" t="s">
        <v>128</v>
      </c>
      <c r="B80" s="28" t="s">
        <v>414</v>
      </c>
      <c r="D80"/>
    </row>
    <row r="81" spans="1:4" ht="20.25">
      <c r="A81" s="1" t="s">
        <v>128</v>
      </c>
      <c r="B81" s="28" t="s">
        <v>46</v>
      </c>
      <c r="D81"/>
    </row>
    <row r="82" spans="1:4" ht="20.25">
      <c r="A82" s="1" t="s">
        <v>128</v>
      </c>
      <c r="B82" s="28" t="s">
        <v>281</v>
      </c>
      <c r="D82"/>
    </row>
    <row r="83" spans="1:4" ht="20.25">
      <c r="A83" s="1" t="s">
        <v>128</v>
      </c>
      <c r="B83" s="28" t="s">
        <v>21</v>
      </c>
      <c r="D83"/>
    </row>
    <row r="84" spans="1:4" ht="20.25">
      <c r="A84" s="1" t="s">
        <v>128</v>
      </c>
      <c r="B84" s="28" t="s">
        <v>446</v>
      </c>
      <c r="D84"/>
    </row>
    <row r="85" spans="1:4" ht="20.25">
      <c r="A85" s="1" t="s">
        <v>787</v>
      </c>
      <c r="B85" s="28" t="s">
        <v>523</v>
      </c>
      <c r="D85"/>
    </row>
    <row r="86" spans="1:4" ht="20.25">
      <c r="A86" s="1" t="s">
        <v>603</v>
      </c>
      <c r="B86" s="28" t="s">
        <v>602</v>
      </c>
      <c r="D86"/>
    </row>
    <row r="87" spans="1:4" ht="20.25">
      <c r="A87" s="1" t="s">
        <v>797</v>
      </c>
      <c r="B87" s="1" t="s">
        <v>34</v>
      </c>
      <c r="D87"/>
    </row>
    <row r="88" spans="1:4" ht="20.25">
      <c r="A88" s="1" t="s">
        <v>797</v>
      </c>
      <c r="B88" s="1" t="s">
        <v>82</v>
      </c>
      <c r="D88"/>
    </row>
    <row r="89" spans="1:4" ht="20.25">
      <c r="A89" s="1" t="s">
        <v>797</v>
      </c>
      <c r="B89" s="1" t="s">
        <v>46</v>
      </c>
      <c r="D89"/>
    </row>
    <row r="90" spans="1:4" ht="20.25">
      <c r="A90" s="1" t="s">
        <v>797</v>
      </c>
      <c r="B90" s="1" t="s">
        <v>21</v>
      </c>
      <c r="D90"/>
    </row>
  </sheetData>
  <autoFilter ref="A1:B90" xr:uid="{245D4B6F-23EE-47FD-9A01-78A43D2E34F8}">
    <sortState xmlns:xlrd2="http://schemas.microsoft.com/office/spreadsheetml/2017/richdata2" ref="A2:B90">
      <sortCondition ref="A1:A90"/>
    </sortState>
  </autoFilter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Note1</vt:lpstr>
      <vt:lpstr>code_Note1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daophet tamon</dc:creator>
  <cp:lastModifiedBy>thai yangsingkham</cp:lastModifiedBy>
  <dcterms:created xsi:type="dcterms:W3CDTF">2026-06-04T17:00:04Z</dcterms:created>
  <dcterms:modified xsi:type="dcterms:W3CDTF">2026-06-05T03:24:46Z</dcterms:modified>
</cp:coreProperties>
</file>